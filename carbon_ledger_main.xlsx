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a355141fd046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ip_Detail" sheetId="1" r:id="Rf797a275f1a84e8d"/>
    <x:sheet xmlns:r="http://schemas.openxmlformats.org/officeDocument/2006/relationships" name="Monthly_Summary" sheetId="2" r:id="R86b69b8e2e3d4a32"/>
    <x:sheet xmlns:r="http://schemas.openxmlformats.org/officeDocument/2006/relationships" name="Annual_Summary" sheetId="3" r:id="Rdf76948477e542e0"/>
    <x:sheet xmlns:r="http://schemas.openxmlformats.org/officeDocument/2006/relationships" name="Segment_Detail" sheetId="4" r:id="R817ad5d597a34c31"/>
    <x:sheet xmlns:r="http://schemas.openxmlformats.org/officeDocument/2006/relationships" name="Waybill_Detail" sheetId="5" r:id="Ra7d0b615ca104b54"/>
    <x:sheet xmlns:r="http://schemas.openxmlformats.org/officeDocument/2006/relationships" name="Pending_4_Vehicle_Data" sheetId="6" r:id="R411422886398430c"/>
    <x:sheet xmlns:r="http://schemas.openxmlformats.org/officeDocument/2006/relationships" name="Ledger_Notes" sheetId="7" r:id="R46de62d0bae84af9"/>
    <x:sheet xmlns:r="http://schemas.openxmlformats.org/officeDocument/2006/relationships" name="Test_Cases" sheetId="8" r:id="R6f3889fbbc4c4b50"/>
    <x:sheet xmlns:r="http://schemas.openxmlformats.org/officeDocument/2006/relationships" name="Validation_Rules" sheetId="9" r:id="R0769075b4f644088"/>
    <x:sheet xmlns:r="http://schemas.openxmlformats.org/officeDocument/2006/relationships" name="Feasibility_Summary" sheetId="10" r:id="R7960c2dc5f234b01"/>
    <x:sheet xmlns:r="http://schemas.openxmlformats.org/officeDocument/2006/relationships" name="Formal_Monthly_Summary" sheetId="11" r:id="Rb20fb5eafa8c4569"/>
    <x:sheet xmlns:r="http://schemas.openxmlformats.org/officeDocument/2006/relationships" name="Formal_Annual_Summary" sheetId="12" r:id="R58a3b2093e89435c"/>
    <x:sheet xmlns:r="http://schemas.openxmlformats.org/officeDocument/2006/relationships" name="Pressure_Test_Cases" sheetId="13" r:id="R4bc6bc0e804d4e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0.0000"/>
    <x:numFmt numFmtId="202" formatCode="0.00%"/>
    <x:numFmt numFmtId="203" formatCode="0.0000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7F1D1D"/>
      </x:patternFill>
    </x:fill>
    <x:fill>
      <x:patternFill patternType="solid">
        <x:fgColor rgb="FF0F766E"/>
      </x:patternFill>
    </x:fill>
    <x:fill>
      <x:patternFill patternType="solid">
        <x:fgColor rgb="FF1D4ED8"/>
      </x:patternFill>
    </x:fill>
    <x:fill>
      <x:patternFill patternType="solid">
        <x:fgColor rgb="FFDBEAFE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</x:cellXfs>
  <x:cellStyles count="1">
    <x:cellStyle name="Normal" xfId="0"/>
  </x:cellStyles>
  <x:dxfs count="2">
    <x:dxf>
      <x:font>
        <x:color rgb="FF991B1B"/>
      </x:font>
      <x:fill>
        <x:patternFill>
          <x:bgColor rgb="FFFECACA"/>
        </x:patternFill>
      </x:fill>
    </x:dxf>
    <x:dxf>
      <x:font>
        <x:color rgb="FF991B1B"/>
      </x:font>
      <x:fill>
        <x:patternFill>
          <x:bgColor rgb="FF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4b785374794752" /><Relationship Type="http://schemas.openxmlformats.org/officeDocument/2006/relationships/theme" Target="/xl/theme/theme1.xml" Id="Rc971793419964a62" /><Relationship Type="http://schemas.openxmlformats.org/officeDocument/2006/relationships/sharedStrings" Target="/xl/sharedStrings.xml" Id="R7757742e4fa54025" /><Relationship Type="http://schemas.openxmlformats.org/officeDocument/2006/relationships/worksheet" Target="/xl/worksheets/sheet1.xml" Id="Rf797a275f1a84e8d" /><Relationship Type="http://schemas.openxmlformats.org/officeDocument/2006/relationships/worksheet" Target="/xl/worksheets/sheet2.xml" Id="R86b69b8e2e3d4a32" /><Relationship Type="http://schemas.openxmlformats.org/officeDocument/2006/relationships/worksheet" Target="/xl/worksheets/sheet3.xml" Id="Rdf76948477e542e0" /><Relationship Type="http://schemas.openxmlformats.org/officeDocument/2006/relationships/worksheet" Target="/xl/worksheets/sheet4.xml" Id="R817ad5d597a34c31" /><Relationship Type="http://schemas.openxmlformats.org/officeDocument/2006/relationships/worksheet" Target="/xl/worksheets/sheet5.xml" Id="Ra7d0b615ca104b54" /><Relationship Type="http://schemas.openxmlformats.org/officeDocument/2006/relationships/worksheet" Target="/xl/worksheets/sheet6.xml" Id="R411422886398430c" /><Relationship Type="http://schemas.openxmlformats.org/officeDocument/2006/relationships/worksheet" Target="/xl/worksheets/sheet7.xml" Id="R46de62d0bae84af9" /><Relationship Type="http://schemas.openxmlformats.org/officeDocument/2006/relationships/worksheet" Target="/xl/worksheets/sheet8.xml" Id="R6f3889fbbc4c4b50" /><Relationship Type="http://schemas.openxmlformats.org/officeDocument/2006/relationships/worksheet" Target="/xl/worksheets/sheet9.xml" Id="R0769075b4f644088" /><Relationship Type="http://schemas.openxmlformats.org/officeDocument/2006/relationships/worksheet" Target="/xl/worksheets/sheet10.xml" Id="R7960c2dc5f234b01" /><Relationship Type="http://schemas.openxmlformats.org/officeDocument/2006/relationships/worksheet" Target="/xl/worksheets/sheet11.xml" Id="Rb20fb5eafa8c4569" /><Relationship Type="http://schemas.openxmlformats.org/officeDocument/2006/relationships/worksheet" Target="/xl/worksheets/sheet12.xml" Id="R58a3b2093e89435c" /><Relationship Type="http://schemas.openxmlformats.org/officeDocument/2006/relationships/worksheet" Target="/xl/worksheets/sheet13.xml" Id="R4bc6bc0e804d4e6d" /></Relationships>
</file>

<file path=xl/tables/table1.xml><?xml version="1.0" encoding="utf-8"?>
<x:table xmlns:x="http://schemas.openxmlformats.org/spreadsheetml/2006/main" id="1" name="TripDetailTable" displayName="TripDetailTable" ref="A1:AI101" headerRowCount="1" totalsRowCount="0" totalsRowShown="0">
  <x:tableColumns count="35">
    <x:tableColumn id="1" name="Ledger_Row_ID"/>
    <x:tableColumn id="2" name="Activity_ID"/>
    <x:tableColumn id="3" name="Trip_ID"/>
    <x:tableColumn id="4" name="Segment_ID"/>
    <x:tableColumn id="5" name="Waybill_ID"/>
    <x:tableColumn id="6" name="Vehicle_ID"/>
    <x:tableColumn id="7" name="Trip_Date"/>
    <x:tableColumn id="8" name="Month"/>
    <x:tableColumn id="9" name="Year"/>
    <x:tableColumn id="10" name="Activity_Type"/>
    <x:tableColumn id="11" name="Scope_Candidate"/>
    <x:tableColumn id="12" name="Activity_Value"/>
    <x:tableColumn id="13" name="Activity_Unit"/>
    <x:tableColumn id="14" name="Distance_km"/>
    <x:tableColumn id="15" name="Cargo_t"/>
    <x:tableColumn id="16" name="Vehicle_Tare_t"/>
    <x:tableColumn id="17" name="Speed_km_h"/>
    <x:tableColumn id="18" name="Temperature_C"/>
    <x:tableColumn id="19" name="Altitude_m"/>
    <x:tableColumn id="20" name="EF_Value"/>
    <x:tableColumn id="21" name="EF_Unit"/>
    <x:tableColumn id="22" name="Factor_Source_Register_Row"/>
    <x:tableColumn id="23" name="Factor_Status"/>
    <x:tableColumn id="24" name="Emissions_kgCO2e"/>
    <x:tableColumn id="25" name="Emissions_tCO2e"/>
    <x:tableColumn id="26" name="Data_Status"/>
    <x:tableColumn id="27" name="Simulated"/>
    <x:tableColumn id="28" name="Evidence_ID"/>
    <x:tableColumn id="29" name="Invoice_No"/>
    <x:tableColumn id="30" name="Run_ID"/>
    <x:tableColumn id="31" name="Source_Ledger_Row_No"/>
    <x:tableColumn id="32" name="Duplicate_Group_ID"/>
    <x:tableColumn id="33" name="Include_In_Summary"/>
    <x:tableColumn id="34" name="Exception_Flag"/>
    <x:tableColumn id="35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onthlySummaryTable" displayName="MonthlySummaryTable" ref="A1:E4" headerRowCount="1" totalsRowCount="0" totalsRowShown="0">
  <x:tableColumns count="5">
    <x:tableColumn id="1" name="Month"/>
    <x:tableColumn id="2" name="Included_Row_Count"/>
    <x:tableColumn id="3" name="Total_Emissions_tCO2e"/>
    <x:tableColumn id="4" name="Data_State"/>
    <x:tableColumn id="5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nnualSummaryTable" displayName="AnnualSummaryTable" ref="A1:E2" headerRowCount="1" totalsRowCount="0" totalsRowShown="0">
  <x:tableColumns count="5">
    <x:tableColumn id="1" name="Year"/>
    <x:tableColumn id="2" name="Included_Row_Count"/>
    <x:tableColumn id="3" name="Total_Emissions_tCO2e"/>
    <x:tableColumn id="4" name="Data_State"/>
    <x:tableColumn id="5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gmentDetailTable" displayName="SegmentDetailTable" ref="A1:L4" headerRowCount="1" totalsRowCount="0" totalsRowShown="0">
  <x:tableColumns count="12">
    <x:tableColumn id="1" name="Segment_ID"/>
    <x:tableColumn id="2" name="Trip_ID"/>
    <x:tableColumn id="3" name="Vehicle_ID"/>
    <x:tableColumn id="4" name="Segment_Date"/>
    <x:tableColumn id="5" name="Distance_km"/>
    <x:tableColumn id="6" name="Activity_ID"/>
    <x:tableColumn id="7" name="Trip_Ledger_Row_ID"/>
    <x:tableColumn id="8" name="Emissions_tCO2e_Link"/>
    <x:tableColumn id="9" name="Aggregation_Rule"/>
    <x:tableColumn id="10" name="Data_Status"/>
    <x:tableColumn id="11" name="Simulated"/>
    <x:tableColumn id="1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WaybillDetailTable" displayName="WaybillDetailTable" ref="A1:O4" headerRowCount="1" totalsRowCount="0" totalsRowShown="0">
  <x:tableColumns count="15">
    <x:tableColumn id="1" name="Waybill_ID"/>
    <x:tableColumn id="2" name="Trip_ID"/>
    <x:tableColumn id="3" name="Segment_ID"/>
    <x:tableColumn id="4" name="Vehicle_ID"/>
    <x:tableColumn id="5" name="Activity_ID"/>
    <x:tableColumn id="6" name="Evidence_ID"/>
    <x:tableColumn id="7" name="Invoice_No"/>
    <x:tableColumn id="8" name="Trip_Ledger_Row_ID"/>
    <x:tableColumn id="9" name="Emissions_tCO2e_Link"/>
    <x:tableColumn id="10" name="Allocation_Share"/>
    <x:tableColumn id="11" name="Allocated_Emissions_tCO2e"/>
    <x:tableColumn id="12" name="Data_Status"/>
    <x:tableColumn id="13" name="Simulated"/>
    <x:tableColumn id="14" name="Aggregation_Rule"/>
    <x:tableColumn id="15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endingVehicleDataTable" displayName="PendingVehicleDataTable" ref="A1:F2" headerRowCount="1" totalsRowCount="0" totalsRowShown="0">
  <x:tableColumns count="6">
    <x:tableColumn id="1" name="Pending_Item_ID"/>
    <x:tableColumn id="2" name="Status"/>
    <x:tableColumn id="3" name="Data_Included"/>
    <x:tableColumn id="4" name="Calculation_Performed"/>
    <x:tableColumn id="5" name="Instruction"/>
    <x:tableColumn id="6" name="Next_Inpu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LedgerNotesTable" displayName="LedgerNotesTable" ref="A1:B7" headerRowCount="1" totalsRowCount="0" totalsRowShown="0">
  <x:tableColumns count="2">
    <x:tableColumn id="1" name="主题"/>
    <x:tableColumn id="2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59fdaeb85d1467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d5dedc4f11b459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14a84ae8b34e0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039492ac90143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34f4edcdd0945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484591c2140d48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f91f397155f04c9c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4" hidden="0" customWidth="1"/>
    <x:col min="8" max="8" width="12" hidden="0" customWidth="1"/>
    <x:col min="9" max="9" width="10" hidden="0" customWidth="1"/>
    <x:col min="10" max="10" width="20" hidden="0" customWidth="1"/>
    <x:col min="11" max="11" width="20" hidden="0" customWidth="1"/>
    <x:col min="12" max="12" width="16" hidden="0" customWidth="1"/>
    <x:col min="13" max="13" width="12" hidden="0" customWidth="1"/>
    <x:col min="14" max="14" width="14" hidden="0" customWidth="1"/>
    <x:col min="15" max="15" width="12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8" hidden="0" customWidth="1"/>
    <x:col min="22" max="22" width="25" hidden="0" customWidth="1"/>
    <x:col min="23" max="23" width="28" hidden="0" customWidth="1"/>
    <x:col min="24" max="24" width="18" hidden="0" customWidth="1"/>
    <x:col min="25" max="25" width="18" hidden="0" customWidth="1"/>
    <x:col min="26" max="26" width="16" hidden="0" customWidth="1"/>
    <x:col min="27" max="27" width="12" hidden="0" customWidth="1"/>
    <x:col min="28" max="28" width="18" hidden="0" customWidth="1"/>
    <x:col min="29" max="29" width="18" hidden="0" customWidth="1"/>
    <x:col min="30" max="30" width="18" hidden="0" customWidth="1"/>
    <x:col min="31" max="31" width="24" hidden="0" customWidth="1"/>
    <x:col min="32" max="32" width="18" hidden="0" customWidth="1"/>
    <x:col min="33" max="33" width="18" hidden="0" customWidth="1"/>
    <x:col min="34" max="34" width="18" hidden="0" customWidth="1"/>
    <x:col min="35" max="35" width="28" hidden="0" customWidth="1"/>
    <x:col min="36" max="36" width="27" hidden="0" customWidth="1"/>
    <x:col min="37" max="37" width="27" hidden="0" customWidth="1"/>
    <x:col min="38" max="38" width="24" hidden="0" customWidth="1"/>
    <x:col min="39" max="39" width="34" hidden="0" customWidth="1"/>
    <x:col min="40" max="40" width="32" hidden="0" customWidth="1"/>
    <x:col min="41" max="41" width="22" hidden="0" customWidth="1"/>
    <x:col min="42" max="42" width="32" hidden="0" customWidth="1"/>
  </x:cols>
  <x:sheetData>
    <x:row r="1" ht="34" customHeight="1">
      <x:c r="A1" s="6" t="str">
        <x:v>Ledger_Row_ID</x:v>
      </x:c>
      <x:c r="B1" s="6" t="str">
        <x:v>Activity_ID</x:v>
      </x:c>
      <x:c r="C1" s="6" t="str">
        <x:v>Trip_ID</x:v>
      </x:c>
      <x:c r="D1" s="6" t="str">
        <x:v>Segment_ID</x:v>
      </x:c>
      <x:c r="E1" s="6" t="str">
        <x:v>Waybill_ID</x:v>
      </x:c>
      <x:c r="F1" s="6" t="str">
        <x:v>Vehicle_ID</x:v>
      </x:c>
      <x:c r="G1" s="6" t="str">
        <x:v>Trip_Date</x:v>
      </x:c>
      <x:c r="H1" s="6" t="str">
        <x:v>Month</x:v>
      </x:c>
      <x:c r="I1" s="6" t="str">
        <x:v>Year</x:v>
      </x:c>
      <x:c r="J1" s="6" t="str">
        <x:v>Activity_Type</x:v>
      </x:c>
      <x:c r="K1" s="6" t="str">
        <x:v>Scope_Candidate</x:v>
      </x:c>
      <x:c r="L1" s="6" t="str">
        <x:v>Activity_Value</x:v>
      </x:c>
      <x:c r="M1" s="6" t="str">
        <x:v>Activity_Unit</x:v>
      </x:c>
      <x:c r="N1" s="6" t="str">
        <x:v>Distance_km</x:v>
      </x:c>
      <x:c r="O1" s="6" t="str">
        <x:v>Cargo_t</x:v>
      </x:c>
      <x:c r="P1" s="6" t="str">
        <x:v>Vehicle_Tare_t</x:v>
      </x:c>
      <x:c r="Q1" s="6" t="str">
        <x:v>Speed_km_h</x:v>
      </x:c>
      <x:c r="R1" s="6" t="str">
        <x:v>Temperature_C</x:v>
      </x:c>
      <x:c r="S1" s="6" t="str">
        <x:v>Altitude_m</x:v>
      </x:c>
      <x:c r="T1" s="6" t="str">
        <x:v>EF_Value</x:v>
      </x:c>
      <x:c r="U1" s="6" t="str">
        <x:v>EF_Unit</x:v>
      </x:c>
      <x:c r="V1" s="6" t="str">
        <x:v>Factor_Source_Register_Row</x:v>
      </x:c>
      <x:c r="W1" s="6" t="str">
        <x:v>Factor_Status</x:v>
      </x:c>
      <x:c r="X1" s="6" t="str">
        <x:v>Emissions_kgCO2e</x:v>
      </x:c>
      <x:c r="Y1" s="6" t="str">
        <x:v>Emissions_tCO2e</x:v>
      </x:c>
      <x:c r="Z1" s="6" t="str">
        <x:v>Data_Status</x:v>
      </x:c>
      <x:c r="AA1" s="6" t="str">
        <x:v>Simulated</x:v>
      </x:c>
      <x:c r="AB1" s="6" t="str">
        <x:v>Evidence_ID</x:v>
      </x:c>
      <x:c r="AC1" s="6" t="str">
        <x:v>Invoice_No</x:v>
      </x:c>
      <x:c r="AD1" s="6" t="str">
        <x:v>Run_ID</x:v>
      </x:c>
      <x:c r="AE1" s="6" t="str">
        <x:v>Source_Ledger_Row_No</x:v>
      </x:c>
      <x:c r="AF1" s="6" t="str">
        <x:v>Duplicate_Group_ID</x:v>
      </x:c>
      <x:c r="AG1" s="6" t="str">
        <x:v>Include_In_Summary</x:v>
      </x:c>
      <x:c r="AH1" s="6" t="str">
        <x:v>Exception_Flag</x:v>
      </x:c>
      <x:c r="AI1" s="6" t="str">
        <x:v>Notes</x:v>
      </x:c>
      <x:c r="AJ1" s="21" t="str">
        <x:v>Validation_Status</x:v>
      </x:c>
      <x:c r="AK1" s="21" t="str">
        <x:v>Validation_Message</x:v>
      </x:c>
      <x:c r="AL1" s="21" t="str">
        <x:v>Formal_Use_Gate</x:v>
      </x:c>
      <x:c r="AM1" s="43" t="str">
        <x:v>Physical_Trip_Key</x:v>
      </x:c>
      <x:c r="AN1" s="43" t="str">
        <x:v>Physical_Trip_Control</x:v>
      </x:c>
      <x:c r="AO1" s="44" t="str">
        <x:v>Owner_Approval_Status (manual)</x:v>
      </x:c>
      <x:c r="AP1" s="43" t="str">
        <x:v>Formal_Summary_Eligibility</x:v>
      </x:c>
    </x:row>
    <x:row r="2">
      <x:c r="A2" s="14" t="str">
        <x:v>LR-SIM-0001</x:v>
      </x:c>
      <x:c r="B2" s="14" t="str">
        <x:v>ACT-SIM-0001</x:v>
      </x:c>
      <x:c r="C2" s="14" t="str">
        <x:v>TRIP-SIM-001</x:v>
      </x:c>
      <x:c r="D2" s="14" t="str">
        <x:v>SEG-SIM-001</x:v>
      </x:c>
      <x:c r="E2" s="14" t="str">
        <x:v>WB-SIM-001</x:v>
      </x:c>
      <x:c r="F2" s="14" t="str">
        <x:v>VH-SIM-001</x:v>
      </x:c>
      <x:c r="G2" s="14" t="str">
        <x:v>2026-10-03</x:v>
      </x:c>
      <x:c r="H2" s="14" t="str">
        <x:f>IF(G2="","",LEFT(G2,7))</x:f>
        <x:v>2026-10</x:v>
      </x:c>
      <x:c r="I2" s="14" t="str">
        <x:f>IF(G2="","",LEFT(G2,4))</x:f>
        <x:v>2026</x:v>
      </x:c>
      <x:c r="J2" s="14" t="str">
        <x:v>柴油消耗</x:v>
      </x:c>
      <x:c r="K2" s="14" t="str">
        <x:v>Scope 1候选</x:v>
      </x:c>
      <x:c r="L2" s="14" t="n">
        <x:v>65.5</x:v>
      </x:c>
      <x:c r="M2" s="14" t="str">
        <x:v>L</x:v>
      </x:c>
      <x:c r="N2" s="14" t="n">
        <x:v>185</x:v>
      </x:c>
      <x:c r="O2" s="14" t="n">
        <x:v>2.5</x:v>
      </x:c>
      <x:c r="P2" s="14" t="n">
        <x:v>4.2</x:v>
      </x:c>
      <x:c r="Q2" s="14" t="n">
        <x:v>45</x:v>
      </x:c>
      <x:c r="R2" s="14" t="n">
        <x:v>18</x:v>
      </x:c>
      <x:c r="S2" s="14" t="n">
        <x:v>45</x:v>
      </x:c>
      <x:c r="T2" s="14" t="n">
        <x:v>3.16</x:v>
      </x:c>
      <x:c r="U2" s="14" t="str">
        <x:v>kgCO2e/L</x:v>
      </x:c>
      <x:c r="V2" s="14" t="str">
        <x:v>5 / SRC-004</x:v>
      </x:c>
      <x:c r="W2" s="14" t="str">
        <x:v>proxy_pending_verification</x:v>
      </x:c>
      <x:c r="X2" s="14" t="n">
        <x:f>IF(OR(L2="",T2=""),"",L2*T2)</x:f>
        <x:v>206.98000000000002</x:v>
      </x:c>
      <x:c r="Y2" s="14" t="n">
        <x:f>IF(X2="","",X2/1000)</x:f>
        <x:v>0.20698000000000003</x:v>
      </x:c>
      <x:c r="Z2" s="14" t="str">
        <x:v>simulated</x:v>
      </x:c>
      <x:c r="AA2" s="14" t="str">
        <x:v>yes</x:v>
      </x:c>
      <x:c r="AB2" s="14" t="str">
        <x:v>EVD-SIM-001</x:v>
      </x:c>
      <x:c r="AC2" s="14" t="str">
        <x:v>INV-SIM-001</x:v>
      </x:c>
      <x:c r="AD2" s="14" t="str">
        <x:v>RUN-SIM-001</x:v>
      </x:c>
      <x:c r="AE2" s="14" t="str">
        <x:v>SYNTHETIC-ROW-001</x:v>
      </x:c>
      <x:c r="AF2" s="14" t="str">
        <x:v>DUP-SIM-001</x:v>
      </x:c>
      <x:c r="AG2" s="14" t="str">
        <x:v>Y</x:v>
      </x:c>
      <x:c r="AH2" s="14" t="str">
        <x:v>proxy_factor_pending</x:v>
      </x:c>
      <x:c r="AI2" s="14" t="str">
        <x:v>合成 simulated 测试记录；排放因子为代理值，待核验；不得用于正式入账。</x:v>
      </x:c>
      <x:c r="AJ2" t="str">
        <x:f>IF(A2="","",IF(OR(COUNT(L2)=0,M2="",COUNT(T2)=0,U2="",C2="",F2="",G2="",J2="",COUNT(N2)=0,COUNT(O2)=0,AB2="",AD2="",AE2=""),"BLOCK_MISSING_REQUIRED",IF(L2&lt;0,"BLOCK_NEGATIVE_ACTIVITY",IF(AND(M2&lt;&gt;"L",M2&lt;&gt;"kWh",M2&lt;&gt;"km",M2&lt;&gt;"t"),"BLOCK_UNSUPPORTED_UNIT",IF(OR(AND(M2="L",U2&lt;&gt;"kgCO2e/L"),AND(M2="kWh",U2&lt;&gt;"kgCO2e/kWh"),AND(M2="km",U2&lt;&gt;"kgCO2e/km"),AND(M2="t",U2&lt;&gt;"kgCO2e/t")),"BLOCK_UNIT_MISMATCH",IF(COUNTIF($A$2:$A$101,A2)&gt;1,"BLOCK_DUPLICATE_LEDGER_ID",IF(AN2&lt;&gt;"PASS_UNIQUE_PHYSICAL_TRIP","BLOCK_POSSIBLE_PHYSICAL_DUPLICATE",IF(AND(Z2="simulated",AA2="yes"),"PASS_SIMULATED_ONLY",IF(AND(Z2="actual",AA2&lt;&gt;"yes",W2="factor_verified",AB2&lt;&gt;"",AD2&lt;&gt;"",AE2&lt;&gt;""),"PASS_FORMAL_PRECHECK","REVIEW_DATA_STATUS")))))))))</x:f>
        <x:v>PASS_SIMULATED_ONLY</x:v>
      </x:c>
      <x:c r="AK2" t="str">
        <x:f>IF(AJ2="","",IF(AJ2="BLOCK_MISSING_REQUIRED","缺少活动量/单位/因子/趟次关键字段/证据标识",IF(AJ2="BLOCK_NEGATIVE_ACTIVITY","活动量为负，禁止进入汇总",IF(AJ2="BLOCK_UNSUPPORTED_UNIT","活动单位不在允许单位白名单中",IF(AJ2="BLOCK_UNIT_MISMATCH","活动单位与因子单位不匹配",IF(AJ2="BLOCK_DUPLICATE_LEDGER_ID","台账行ID重复，需复核",IF(AJ2="BLOCK_POSSIBLE_PHYSICAL_DUPLICATE","疑似同一物理趟次/来源行重复，冻结汇总并复核",IF(AJ2="PASS_SIMULATED_ONLY","结构检查通过，但仅供 simulated 测试",IF(AJ2="PASS_FORMAL_PRECHECK","通过结构预检；仍需人工/负责人审批","数据状态需人工复核")))))))))</x:f>
        <x:v>结构检查通过，但仅供 simulated 测试</x:v>
      </x:c>
      <x:c r="AL2" t="str">
        <x:f>IF(A2="","",IF(OR(Z2="simulated",AA2="yes",W2&lt;&gt;"factor_verified",AJ2&lt;&gt;"PASS_FORMAL_PRECHECK",AB2="",AD2="",AE2=""),"NOT_FORMAL_USE","ELIGIBLE_FOR_REVIEW_NOT_APPROVED"))</x:f>
        <x:v>NOT_FORMAL_USE</x:v>
      </x:c>
      <x:c r="AM2" s="12" t="str">
        <x:f>IF(OR(F2="",G2="",J2="",COUNT(L2)=0,M2="",COUNT(N2)=0,COUNT(O2)=0),"",UPPER(F2&amp;"|"&amp;G2&amp;"|"&amp;J2&amp;"|"&amp;TEXT(N2,"0.000")&amp;"|"&amp;TEXT(O2,"0.000")&amp;"|"&amp;TEXT(L2,"0.000")&amp;"|"&amp;M2))</x:f>
        <x:v>VH-SIM-001|2026-10-03|柴油消耗|185.000|2.500|65.500|L</x:v>
      </x:c>
      <x:c r="AN2" s="12" t="str">
        <x:f>IF(A2="","",IF(OR(COUNTIF($C$2:$C$101,C2)&gt;1,AND(AE2&lt;&gt;"",COUNTIF($AE$2:$AE$101,AE2)&gt;1),AND(AM2&lt;&gt;"",COUNTIF($AM$2:$AM$101,AM2)&gt;1)),"BLOCK_POSSIBLE_PHYSICAL_DUPLICATE","PASS_UNIQUE_PHYSICAL_TRIP"))</x:f>
        <x:v>PASS_UNIQUE_PHYSICAL_TRIP</x:v>
      </x:c>
      <x:c r="AO2" s="12" t="str">
        <x:v>not approved</x:v>
      </x:c>
      <x:c r="AP2" s="12" t="str">
        <x:f>IF(A2="","",IF(AND(Z2="actual",AA2&lt;&gt;"yes",W2="factor_verified",AJ2="PASS_FORMAL_PRECHECK",AN2="PASS_UNIQUE_PHYSICAL_TRIP",AO2="approved",AB2&lt;&gt;"",AD2&lt;&gt;"",AE2&lt;&gt;""),"FORMAL_APPROVED","EXCLUDED_NOT_FORMALLY_APPROVED"))</x:f>
        <x:v>EXCLUDED_NOT_FORMALLY_APPROVED</x:v>
      </x:c>
    </x:row>
    <x:row r="3">
      <x:c r="A3" s="14" t="str">
        <x:v>LR-SIM-0002</x:v>
      </x:c>
      <x:c r="B3" s="14" t="str">
        <x:v>ACT-SIM-0002</x:v>
      </x:c>
      <x:c r="C3" s="14" t="str">
        <x:v>TRIP-SIM-002</x:v>
      </x:c>
      <x:c r="D3" s="14" t="str">
        <x:v>SEG-SIM-002</x:v>
      </x:c>
      <x:c r="E3" s="14" t="str">
        <x:v>WB-SIM-002</x:v>
      </x:c>
      <x:c r="F3" s="14" t="str">
        <x:v>VH-SIM-002</x:v>
      </x:c>
      <x:c r="G3" s="14" t="str">
        <x:v>2026-10-04</x:v>
      </x:c>
      <x:c r="H3" s="14" t="str">
        <x:f>IF(G3="","",LEFT(G3,7))</x:f>
        <x:v>2026-10</x:v>
      </x:c>
      <x:c r="I3" s="14" t="str">
        <x:f>IF(G3="","",LEFT(G3,4))</x:f>
        <x:v>2026</x:v>
      </x:c>
      <x:c r="J3" s="14" t="str">
        <x:v>柴油消耗</x:v>
      </x:c>
      <x:c r="K3" s="14" t="str">
        <x:v>Scope 1候选</x:v>
      </x:c>
      <x:c r="L3" s="14" t="n">
        <x:v>80</x:v>
      </x:c>
      <x:c r="M3" s="14" t="str">
        <x:v>L</x:v>
      </x:c>
      <x:c r="N3" s="14" t="n">
        <x:v>260</x:v>
      </x:c>
      <x:c r="O3" s="14" t="n">
        <x:v>4</x:v>
      </x:c>
      <x:c r="P3" s="14" t="n">
        <x:v>6</x:v>
      </x:c>
      <x:c r="Q3" s="14" t="n">
        <x:v>52</x:v>
      </x:c>
      <x:c r="R3" s="14" t="n">
        <x:v>16</x:v>
      </x:c>
      <x:c r="S3" s="14" t="n">
        <x:v>80</x:v>
      </x:c>
      <x:c r="T3" s="14" t="n">
        <x:v>3.16</x:v>
      </x:c>
      <x:c r="U3" s="14" t="str">
        <x:v>kgCO2e/L</x:v>
      </x:c>
      <x:c r="V3" s="14" t="str">
        <x:v>5 / SRC-004</x:v>
      </x:c>
      <x:c r="W3" s="14" t="str">
        <x:v>proxy_pending_verification</x:v>
      </x:c>
      <x:c r="X3" s="14" t="n">
        <x:f>IF(OR(L3="",T3=""),"",L3*T3)</x:f>
        <x:v>252.8</x:v>
      </x:c>
      <x:c r="Y3" s="14" t="n">
        <x:f>IF(X3="","",X3/1000)</x:f>
        <x:v>0.2528</x:v>
      </x:c>
      <x:c r="Z3" s="14" t="str">
        <x:v>simulated</x:v>
      </x:c>
      <x:c r="AA3" s="14" t="str">
        <x:v>yes</x:v>
      </x:c>
      <x:c r="AB3" s="14" t="str">
        <x:v>EVD-SIM-002</x:v>
      </x:c>
      <x:c r="AC3" s="14" t="str">
        <x:v>INV-SIM-002</x:v>
      </x:c>
      <x:c r="AD3" s="14" t="str">
        <x:v>RUN-SIM-002</x:v>
      </x:c>
      <x:c r="AE3" s="14" t="str">
        <x:v>SYNTHETIC-ROW-002</x:v>
      </x:c>
      <x:c r="AF3" s="14" t="str">
        <x:v>DUP-SIM-002</x:v>
      </x:c>
      <x:c r="AG3" s="14" t="str">
        <x:v>Y</x:v>
      </x:c>
      <x:c r="AH3" s="14" t="str">
        <x:v>proxy_factor_pending</x:v>
      </x:c>
      <x:c r="AI3" s="14" t="str">
        <x:v>合成 simulated 测试记录；排放因子为代理值，待核验；不得用于正式入账。</x:v>
      </x:c>
      <x:c r="AJ3" t="str">
        <x:f>IF(A3="","",IF(OR(COUNT(L3)=0,M3="",COUNT(T3)=0,U3="",C3="",F3="",G3="",J3="",COUNT(N3)=0,COUNT(O3)=0,AB3="",AD3="",AE3=""),"BLOCK_MISSING_REQUIRED",IF(L3&lt;0,"BLOCK_NEGATIVE_ACTIVITY",IF(AND(M3&lt;&gt;"L",M3&lt;&gt;"kWh",M3&lt;&gt;"km",M3&lt;&gt;"t"),"BLOCK_UNSUPPORTED_UNIT",IF(OR(AND(M3="L",U3&lt;&gt;"kgCO2e/L"),AND(M3="kWh",U3&lt;&gt;"kgCO2e/kWh"),AND(M3="km",U3&lt;&gt;"kgCO2e/km"),AND(M3="t",U3&lt;&gt;"kgCO2e/t")),"BLOCK_UNIT_MISMATCH",IF(COUNTIF($A$2:$A$101,A3)&gt;1,"BLOCK_DUPLICATE_LEDGER_ID",IF(AN3&lt;&gt;"PASS_UNIQUE_PHYSICAL_TRIP","BLOCK_POSSIBLE_PHYSICAL_DUPLICATE",IF(AND(Z3="simulated",AA3="yes"),"PASS_SIMULATED_ONLY",IF(AND(Z3="actual",AA3&lt;&gt;"yes",W3="factor_verified",AB3&lt;&gt;"",AD3&lt;&gt;"",AE3&lt;&gt;""),"PASS_FORMAL_PRECHECK","REVIEW_DATA_STATUS")))))))))</x:f>
        <x:v>PASS_SIMULATED_ONLY</x:v>
      </x:c>
      <x:c r="AK3" t="str">
        <x:f>IF(AJ3="","",IF(AJ3="BLOCK_MISSING_REQUIRED","缺少活动量/单位/因子/趟次关键字段/证据标识",IF(AJ3="BLOCK_NEGATIVE_ACTIVITY","活动量为负，禁止进入汇总",IF(AJ3="BLOCK_UNSUPPORTED_UNIT","活动单位不在允许单位白名单中",IF(AJ3="BLOCK_UNIT_MISMATCH","活动单位与因子单位不匹配",IF(AJ3="BLOCK_DUPLICATE_LEDGER_ID","台账行ID重复，需复核",IF(AJ3="BLOCK_POSSIBLE_PHYSICAL_DUPLICATE","疑似同一物理趟次/来源行重复，冻结汇总并复核",IF(AJ3="PASS_SIMULATED_ONLY","结构检查通过，但仅供 simulated 测试",IF(AJ3="PASS_FORMAL_PRECHECK","通过结构预检；仍需人工/负责人审批","数据状态需人工复核")))))))))</x:f>
        <x:v>结构检查通过，但仅供 simulated 测试</x:v>
      </x:c>
      <x:c r="AL3" t="str">
        <x:f>IF(A3="","",IF(OR(Z3="simulated",AA3="yes",W3&lt;&gt;"factor_verified",AJ3&lt;&gt;"PASS_FORMAL_PRECHECK",AB3="",AD3="",AE3=""),"NOT_FORMAL_USE","ELIGIBLE_FOR_REVIEW_NOT_APPROVED"))</x:f>
        <x:v>NOT_FORMAL_USE</x:v>
      </x:c>
      <x:c r="AM3" s="12" t="str">
        <x:f>IF(OR(F3="",G3="",J3="",COUNT(L3)=0,M3="",COUNT(N3)=0,COUNT(O3)=0),"",UPPER(F3&amp;"|"&amp;G3&amp;"|"&amp;J3&amp;"|"&amp;TEXT(N3,"0.000")&amp;"|"&amp;TEXT(O3,"0.000")&amp;"|"&amp;TEXT(L3,"0.000")&amp;"|"&amp;M3))</x:f>
        <x:v>VH-SIM-002|2026-10-04|柴油消耗|260.000|4.000|80.000|L</x:v>
      </x:c>
      <x:c r="AN3" s="12" t="str">
        <x:f>IF(A3="","",IF(OR(COUNTIF($C$2:$C$101,C3)&gt;1,AND(AE3&lt;&gt;"",COUNTIF($AE$2:$AE$101,AE3)&gt;1),AND(AM3&lt;&gt;"",COUNTIF($AM$2:$AM$101,AM3)&gt;1)),"BLOCK_POSSIBLE_PHYSICAL_DUPLICATE","PASS_UNIQUE_PHYSICAL_TRIP"))</x:f>
        <x:v>PASS_UNIQUE_PHYSICAL_TRIP</x:v>
      </x:c>
      <x:c r="AO3" s="12" t="str">
        <x:v>not approved</x:v>
      </x:c>
      <x:c r="AP3" s="12" t="str">
        <x:f>IF(A3="","",IF(AND(Z3="actual",AA3&lt;&gt;"yes",W3="factor_verified",AJ3="PASS_FORMAL_PRECHECK",AN3="PASS_UNIQUE_PHYSICAL_TRIP",AO3="approved",AB3&lt;&gt;"",AD3&lt;&gt;"",AE3&lt;&gt;""),"FORMAL_APPROVED","EXCLUDED_NOT_FORMALLY_APPROVED"))</x:f>
        <x:v>EXCLUDED_NOT_FORMALLY_APPROVED</x:v>
      </x:c>
    </x:row>
    <x:row r="4">
      <x:c r="A4" s="14" t="str">
        <x:v>LR-SIM-0003</x:v>
      </x:c>
      <x:c r="B4" s="14" t="str">
        <x:v>ACT-SIM-0003</x:v>
      </x:c>
      <x:c r="C4" s="14" t="str">
        <x:v>TRIP-SIM-003</x:v>
      </x:c>
      <x:c r="D4" s="14" t="str">
        <x:v>SEG-SIM-003</x:v>
      </x:c>
      <x:c r="E4" s="14" t="str">
        <x:v>WB-SIM-003</x:v>
      </x:c>
      <x:c r="F4" s="14" t="str">
        <x:v>VH-SIM-003</x:v>
      </x:c>
      <x:c r="G4" s="14" t="str">
        <x:v>2026-10-05</x:v>
      </x:c>
      <x:c r="H4" s="14" t="str">
        <x:f>IF(G4="","",LEFT(G4,7))</x:f>
        <x:v>2026-10</x:v>
      </x:c>
      <x:c r="I4" s="14" t="str">
        <x:f>IF(G4="","",LEFT(G4,4))</x:f>
        <x:v>2026</x:v>
      </x:c>
      <x:c r="J4" s="14" t="str">
        <x:v>电力消耗（测试）</x:v>
      </x:c>
      <x:c r="K4" s="14" t="str">
        <x:v>Scope 2候选</x:v>
      </x:c>
      <x:c r="L4" s="14" t="n">
        <x:v>150</x:v>
      </x:c>
      <x:c r="M4" s="14" t="str">
        <x:v>kWh</x:v>
      </x:c>
      <x:c r="N4" s="14" t="n">
        <x:v>60</x:v>
      </x:c>
      <x:c r="O4" s="14" t="n">
        <x:v>0.5</x:v>
      </x:c>
      <x:c r="P4" s="14" t="n">
        <x:v>1.5</x:v>
      </x:c>
      <x:c r="Q4" s="14" t="n">
        <x:v>30</x:v>
      </x:c>
      <x:c r="R4" s="14" t="n">
        <x:v>20</x:v>
      </x:c>
      <x:c r="S4" s="14" t="n">
        <x:v>10</x:v>
      </x:c>
      <x:c r="T4" s="14" t="n">
        <x:v>0.5568</x:v>
      </x:c>
      <x:c r="U4" s="14" t="str">
        <x:v>kgCO2e/kWh</x:v>
      </x:c>
      <x:c r="V4" s="14" t="str">
        <x:v>5 / SRC-004</x:v>
      </x:c>
      <x:c r="W4" s="14" t="str">
        <x:v>proxy_pending_verification</x:v>
      </x:c>
      <x:c r="X4" s="14" t="n">
        <x:f>IF(OR(L4="",T4=""),"",L4*T4)</x:f>
        <x:v>83.52</x:v>
      </x:c>
      <x:c r="Y4" s="14" t="n">
        <x:f>IF(X4="","",X4/1000)</x:f>
        <x:v>0.08352</x:v>
      </x:c>
      <x:c r="Z4" s="14" t="str">
        <x:v>simulated</x:v>
      </x:c>
      <x:c r="AA4" s="14" t="str">
        <x:v>yes</x:v>
      </x:c>
      <x:c r="AB4" s="14" t="str">
        <x:v>EVD-SIM-003</x:v>
      </x:c>
      <x:c r="AC4" s="14" t="str">
        <x:v>INV-SIM-003</x:v>
      </x:c>
      <x:c r="AD4" s="14" t="str">
        <x:v>RUN-SIM-003</x:v>
      </x:c>
      <x:c r="AE4" s="14" t="str">
        <x:v>SYNTHETIC-ROW-003</x:v>
      </x:c>
      <x:c r="AF4" s="14" t="str">
        <x:v>DUP-SIM-003</x:v>
      </x:c>
      <x:c r="AG4" s="14" t="str">
        <x:v>Y</x:v>
      </x:c>
      <x:c r="AH4" s="14" t="str">
        <x:v>proxy_factor_pending</x:v>
      </x:c>
      <x:c r="AI4" s="14" t="str">
        <x:v>合成 simulated 测试记录；排放因子为代理值，待核验；不得用于正式入账。</x:v>
      </x:c>
      <x:c r="AJ4" t="str">
        <x:f>IF(A4="","",IF(OR(COUNT(L4)=0,M4="",COUNT(T4)=0,U4="",C4="",F4="",G4="",J4="",COUNT(N4)=0,COUNT(O4)=0,AB4="",AD4="",AE4=""),"BLOCK_MISSING_REQUIRED",IF(L4&lt;0,"BLOCK_NEGATIVE_ACTIVITY",IF(AND(M4&lt;&gt;"L",M4&lt;&gt;"kWh",M4&lt;&gt;"km",M4&lt;&gt;"t"),"BLOCK_UNSUPPORTED_UNIT",IF(OR(AND(M4="L",U4&lt;&gt;"kgCO2e/L"),AND(M4="kWh",U4&lt;&gt;"kgCO2e/kWh"),AND(M4="km",U4&lt;&gt;"kgCO2e/km"),AND(M4="t",U4&lt;&gt;"kgCO2e/t")),"BLOCK_UNIT_MISMATCH",IF(COUNTIF($A$2:$A$101,A4)&gt;1,"BLOCK_DUPLICATE_LEDGER_ID",IF(AN4&lt;&gt;"PASS_UNIQUE_PHYSICAL_TRIP","BLOCK_POSSIBLE_PHYSICAL_DUPLICATE",IF(AND(Z4="simulated",AA4="yes"),"PASS_SIMULATED_ONLY",IF(AND(Z4="actual",AA4&lt;&gt;"yes",W4="factor_verified",AB4&lt;&gt;"",AD4&lt;&gt;"",AE4&lt;&gt;""),"PASS_FORMAL_PRECHECK","REVIEW_DATA_STATUS")))))))))</x:f>
        <x:v>PASS_SIMULATED_ONLY</x:v>
      </x:c>
      <x:c r="AK4" t="str">
        <x:f>IF(AJ4="","",IF(AJ4="BLOCK_MISSING_REQUIRED","缺少活动量/单位/因子/趟次关键字段/证据标识",IF(AJ4="BLOCK_NEGATIVE_ACTIVITY","活动量为负，禁止进入汇总",IF(AJ4="BLOCK_UNSUPPORTED_UNIT","活动单位不在允许单位白名单中",IF(AJ4="BLOCK_UNIT_MISMATCH","活动单位与因子单位不匹配",IF(AJ4="BLOCK_DUPLICATE_LEDGER_ID","台账行ID重复，需复核",IF(AJ4="BLOCK_POSSIBLE_PHYSICAL_DUPLICATE","疑似同一物理趟次/来源行重复，冻结汇总并复核",IF(AJ4="PASS_SIMULATED_ONLY","结构检查通过，但仅供 simulated 测试",IF(AJ4="PASS_FORMAL_PRECHECK","通过结构预检；仍需人工/负责人审批","数据状态需人工复核")))))))))</x:f>
        <x:v>结构检查通过，但仅供 simulated 测试</x:v>
      </x:c>
      <x:c r="AL4" t="str">
        <x:f>IF(A4="","",IF(OR(Z4="simulated",AA4="yes",W4&lt;&gt;"factor_verified",AJ4&lt;&gt;"PASS_FORMAL_PRECHECK",AB4="",AD4="",AE4=""),"NOT_FORMAL_USE","ELIGIBLE_FOR_REVIEW_NOT_APPROVED"))</x:f>
        <x:v>NOT_FORMAL_USE</x:v>
      </x:c>
      <x:c r="AM4" s="12" t="str">
        <x:f>IF(OR(F4="",G4="",J4="",COUNT(L4)=0,M4="",COUNT(N4)=0,COUNT(O4)=0),"",UPPER(F4&amp;"|"&amp;G4&amp;"|"&amp;J4&amp;"|"&amp;TEXT(N4,"0.000")&amp;"|"&amp;TEXT(O4,"0.000")&amp;"|"&amp;TEXT(L4,"0.000")&amp;"|"&amp;M4))</x:f>
        <x:v>VH-SIM-003|2026-10-05|电力消耗（测试）|60.000|0.500|150.000|KWH</x:v>
      </x:c>
      <x:c r="AN4" s="12" t="str">
        <x:f>IF(A4="","",IF(OR(COUNTIF($C$2:$C$101,C4)&gt;1,AND(AE4&lt;&gt;"",COUNTIF($AE$2:$AE$101,AE4)&gt;1),AND(AM4&lt;&gt;"",COUNTIF($AM$2:$AM$101,AM4)&gt;1)),"BLOCK_POSSIBLE_PHYSICAL_DUPLICATE","PASS_UNIQUE_PHYSICAL_TRIP"))</x:f>
        <x:v>PASS_UNIQUE_PHYSICAL_TRIP</x:v>
      </x:c>
      <x:c r="AO4" s="12" t="str">
        <x:v>not approved</x:v>
      </x:c>
      <x:c r="AP4" s="12" t="str">
        <x:f>IF(A4="","",IF(AND(Z4="actual",AA4&lt;&gt;"yes",W4="factor_verified",AJ4="PASS_FORMAL_PRECHECK",AN4="PASS_UNIQUE_PHYSICAL_TRIP",AO4="approved",AB4&lt;&gt;"",AD4&lt;&gt;"",AE4&lt;&gt;""),"FORMAL_APPROVED","EXCLUDED_NOT_FORMALLY_APPROVED"))</x:f>
        <x:v>EXCLUDED_NOT_FORMALLY_APPROVED</x:v>
      </x:c>
    </x:row>
    <x:row r="5">
      <x:c r="A5" s="14" t="str">
        <x:v>LR-SIM-0004</x:v>
      </x:c>
      <x:c r="B5" s="14" t="str">
        <x:v>ACT-SIM-0004</x:v>
      </x:c>
      <x:c r="C5" s="14" t="str">
        <x:v>TRIP-SIM-004</x:v>
      </x:c>
      <x:c r="D5" s="14" t="str">
        <x:v>SEG-SIM-004</x:v>
      </x:c>
      <x:c r="E5" s="14" t="str">
        <x:v>WB-SIM-004</x:v>
      </x:c>
      <x:c r="F5" s="14" t="str">
        <x:v>VH-SIM-002</x:v>
      </x:c>
      <x:c r="G5" s="14" t="str">
        <x:v>2026-10-19</x:v>
      </x:c>
      <x:c r="H5" s="14" t="str">
        <x:f>IF(G5="","",LEFT(G5,7))</x:f>
        <x:v>2026-10</x:v>
      </x:c>
      <x:c r="I5" s="14" t="str">
        <x:f>IF(G5="","",LEFT(G5,4))</x:f>
        <x:v>2026</x:v>
      </x:c>
      <x:c r="J5" s="14" t="str">
        <x:v>柴油消耗</x:v>
      </x:c>
      <x:c r="K5" s="14" t="str">
        <x:v>Scope 1候选</x:v>
      </x:c>
      <x:c r="L5" s="14" t="n">
        <x:v>42</x:v>
      </x:c>
      <x:c r="M5" s="14" t="str">
        <x:v>L</x:v>
      </x:c>
      <x:c r="N5" s="14" t="n">
        <x:v>94</x:v>
      </x:c>
      <x:c r="O5" s="14" t="n">
        <x:v>1.7</x:v>
      </x:c>
      <x:c r="P5" s="14" t="n">
        <x:v>4.1</x:v>
      </x:c>
      <x:c r="Q5" s="14" t="n">
        <x:v>38</x:v>
      </x:c>
      <x:c r="R5" s="14" t="n">
        <x:v>17</x:v>
      </x:c>
      <x:c r="S5" s="14" t="n">
        <x:v>35</x:v>
      </x:c>
      <x:c r="T5" s="14" t="n">
        <x:v>3.16</x:v>
      </x:c>
      <x:c r="U5" s="14" t="str">
        <x:v>kgCO2e/L</x:v>
      </x:c>
      <x:c r="V5" s="14" t="str">
        <x:v>5 / SRC-004</x:v>
      </x:c>
      <x:c r="W5" s="14" t="str">
        <x:v>proxy_pending_verification</x:v>
      </x:c>
      <x:c r="X5" s="14" t="n">
        <x:f>IF(OR(L5="",T5=""),"",L5*T5)</x:f>
        <x:v>132.72</x:v>
      </x:c>
      <x:c r="Y5" s="14" t="n">
        <x:f>IF(X5="","",X5/1000)</x:f>
        <x:v>0.13272</x:v>
      </x:c>
      <x:c r="Z5" s="14" t="str">
        <x:v>simulated</x:v>
      </x:c>
      <x:c r="AA5" s="14" t="str">
        <x:v>yes</x:v>
      </x:c>
      <x:c r="AB5" s="14" t="str">
        <x:v>EVD-SIM-004</x:v>
      </x:c>
      <x:c r="AC5" s="14" t="str">
        <x:v>INV-SIM-004</x:v>
      </x:c>
      <x:c r="AD5" s="14" t="str">
        <x:v>RUN-SIM-004</x:v>
      </x:c>
      <x:c r="AE5" s="14" t="str">
        <x:v>SYNTHETIC-ROW-004</x:v>
      </x:c>
      <x:c r="AF5" s="14" t="str">
        <x:v>DUP-SIM-004</x:v>
      </x:c>
      <x:c r="AG5" s="14" t="str">
        <x:v>Y</x:v>
      </x:c>
      <x:c r="AH5" s="14" t="str">
        <x:v>proxy_factor_pending</x:v>
      </x:c>
      <x:c r="AI5" s="14" t="str">
        <x:v>合成 simulated 测试记录；排放因子为代理值，待核验；不得用于正式入账。</x:v>
      </x:c>
      <x:c r="AJ5" t="str">
        <x:f>IF(A5="","",IF(OR(COUNT(L5)=0,M5="",COUNT(T5)=0,U5="",C5="",F5="",G5="",J5="",COUNT(N5)=0,COUNT(O5)=0,AB5="",AD5="",AE5=""),"BLOCK_MISSING_REQUIRED",IF(L5&lt;0,"BLOCK_NEGATIVE_ACTIVITY",IF(AND(M5&lt;&gt;"L",M5&lt;&gt;"kWh",M5&lt;&gt;"km",M5&lt;&gt;"t"),"BLOCK_UNSUPPORTED_UNIT",IF(OR(AND(M5="L",U5&lt;&gt;"kgCO2e/L"),AND(M5="kWh",U5&lt;&gt;"kgCO2e/kWh"),AND(M5="km",U5&lt;&gt;"kgCO2e/km"),AND(M5="t",U5&lt;&gt;"kgCO2e/t")),"BLOCK_UNIT_MISMATCH",IF(COUNTIF($A$2:$A$101,A5)&gt;1,"BLOCK_DUPLICATE_LEDGER_ID",IF(AN5&lt;&gt;"PASS_UNIQUE_PHYSICAL_TRIP","BLOCK_POSSIBLE_PHYSICAL_DUPLICATE",IF(AND(Z5="simulated",AA5="yes"),"PASS_SIMULATED_ONLY",IF(AND(Z5="actual",AA5&lt;&gt;"yes",W5="factor_verified",AB5&lt;&gt;"",AD5&lt;&gt;"",AE5&lt;&gt;""),"PASS_FORMAL_PRECHECK","REVIEW_DATA_STATUS")))))))))</x:f>
        <x:v>PASS_SIMULATED_ONLY</x:v>
      </x:c>
      <x:c r="AK5" t="str">
        <x:f>IF(AJ5="","",IF(AJ5="BLOCK_MISSING_REQUIRED","缺少活动量/单位/因子/趟次关键字段/证据标识",IF(AJ5="BLOCK_NEGATIVE_ACTIVITY","活动量为负，禁止进入汇总",IF(AJ5="BLOCK_UNSUPPORTED_UNIT","活动单位不在允许单位白名单中",IF(AJ5="BLOCK_UNIT_MISMATCH","活动单位与因子单位不匹配",IF(AJ5="BLOCK_DUPLICATE_LEDGER_ID","台账行ID重复，需复核",IF(AJ5="BLOCK_POSSIBLE_PHYSICAL_DUPLICATE","疑似同一物理趟次/来源行重复，冻结汇总并复核",IF(AJ5="PASS_SIMULATED_ONLY","结构检查通过，但仅供 simulated 测试",IF(AJ5="PASS_FORMAL_PRECHECK","通过结构预检；仍需人工/负责人审批","数据状态需人工复核")))))))))</x:f>
        <x:v>结构检查通过，但仅供 simulated 测试</x:v>
      </x:c>
      <x:c r="AL5" t="str">
        <x:f>IF(A5="","",IF(OR(Z5="simulated",AA5="yes",W5&lt;&gt;"factor_verified",AJ5&lt;&gt;"PASS_FORMAL_PRECHECK",AB5="",AD5="",AE5=""),"NOT_FORMAL_USE","ELIGIBLE_FOR_REVIEW_NOT_APPROVED"))</x:f>
        <x:v>NOT_FORMAL_USE</x:v>
      </x:c>
      <x:c r="AM5" s="12" t="str">
        <x:f>IF(OR(F5="",G5="",J5="",COUNT(L5)=0,M5="",COUNT(N5)=0,COUNT(O5)=0),"",UPPER(F5&amp;"|"&amp;G5&amp;"|"&amp;J5&amp;"|"&amp;TEXT(N5,"0.000")&amp;"|"&amp;TEXT(O5,"0.000")&amp;"|"&amp;TEXT(L5,"0.000")&amp;"|"&amp;M5))</x:f>
        <x:v>VH-SIM-002|2026-10-19|柴油消耗|94.000|1.700|42.000|L</x:v>
      </x:c>
      <x:c r="AN5" s="12" t="str">
        <x:f>IF(A5="","",IF(OR(COUNTIF($C$2:$C$101,C5)&gt;1,AND(AE5&lt;&gt;"",COUNTIF($AE$2:$AE$101,AE5)&gt;1),AND(AM5&lt;&gt;"",COUNTIF($AM$2:$AM$101,AM5)&gt;1)),"BLOCK_POSSIBLE_PHYSICAL_DUPLICATE","PASS_UNIQUE_PHYSICAL_TRIP"))</x:f>
        <x:v>PASS_UNIQUE_PHYSICAL_TRIP</x:v>
      </x:c>
      <x:c r="AO5" s="12" t="str">
        <x:v>not approved</x:v>
      </x:c>
      <x:c r="AP5" s="12" t="str">
        <x:f>IF(A5="","",IF(AND(Z5="actual",AA5&lt;&gt;"yes",W5="factor_verified",AJ5="PASS_FORMAL_PRECHECK",AN5="PASS_UNIQUE_PHYSICAL_TRIP",AO5="approved",AB5&lt;&gt;"",AD5&lt;&gt;"",AE5&lt;&gt;""),"FORMAL_APPROVED","EXCLUDED_NOT_FORMALLY_APPROVED"))</x:f>
        <x:v>EXCLUDED_NOT_FORMALLY_APPROVED</x:v>
      </x:c>
    </x:row>
    <x:row r="6">
      <x:c r="A6" s="14" t="str">
        <x:v>LR-SIM-0005</x:v>
      </x:c>
      <x:c r="B6" s="14" t="str">
        <x:v>ACT-SIM-0005</x:v>
      </x:c>
      <x:c r="C6" s="14" t="str">
        <x:v>TRIP-SIM-005</x:v>
      </x:c>
      <x:c r="D6" s="14" t="str">
        <x:v>SEG-SIM-005</x:v>
      </x:c>
      <x:c r="E6" s="14" t="str">
        <x:v>WB-SIM-005</x:v>
      </x:c>
      <x:c r="F6" s="14" t="str">
        <x:v>VH-SIM-003</x:v>
      </x:c>
      <x:c r="G6" s="14" t="str">
        <x:v>2026-10-30</x:v>
      </x:c>
      <x:c r="H6" s="14" t="str">
        <x:f>IF(G6="","",LEFT(G6,7))</x:f>
        <x:v>2026-10</x:v>
      </x:c>
      <x:c r="I6" s="14" t="str">
        <x:f>IF(G6="","",LEFT(G6,4))</x:f>
        <x:v>2026</x:v>
      </x:c>
      <x:c r="J6" s="14" t="str">
        <x:v>柴油消耗</x:v>
      </x:c>
      <x:c r="K6" s="14" t="str">
        <x:v>Scope 1候选</x:v>
      </x:c>
      <x:c r="L6" s="14" t="n">
        <x:v>53.2</x:v>
      </x:c>
      <x:c r="M6" s="14" t="str">
        <x:v>L</x:v>
      </x:c>
      <x:c r="N6" s="14" t="n">
        <x:v>122</x:v>
      </x:c>
      <x:c r="O6" s="14" t="n">
        <x:v>2.2</x:v>
      </x:c>
      <x:c r="P6" s="14" t="n">
        <x:v>4.3</x:v>
      </x:c>
      <x:c r="Q6" s="14" t="n">
        <x:v>48</x:v>
      </x:c>
      <x:c r="R6" s="14" t="n">
        <x:v>12</x:v>
      </x:c>
      <x:c r="S6" s="14" t="n">
        <x:v>23</x:v>
      </x:c>
      <x:c r="T6" s="14" t="n">
        <x:v>3.16</x:v>
      </x:c>
      <x:c r="U6" s="14" t="str">
        <x:v>kgCO2e/L</x:v>
      </x:c>
      <x:c r="V6" s="14" t="str">
        <x:v>5 / SRC-004</x:v>
      </x:c>
      <x:c r="W6" s="14" t="str">
        <x:v>proxy_pending_verification</x:v>
      </x:c>
      <x:c r="X6" s="14" t="n">
        <x:f>IF(OR(L6="",T6=""),"",L6*T6)</x:f>
        <x:v>168.11200000000002</x:v>
      </x:c>
      <x:c r="Y6" s="14" t="n">
        <x:f>IF(X6="","",X6/1000)</x:f>
        <x:v>0.168112</x:v>
      </x:c>
      <x:c r="Z6" s="14" t="str">
        <x:v>simulated</x:v>
      </x:c>
      <x:c r="AA6" s="14" t="str">
        <x:v>yes</x:v>
      </x:c>
      <x:c r="AB6" s="14" t="str">
        <x:v>EVD-SIM-005</x:v>
      </x:c>
      <x:c r="AC6" s="14" t="str">
        <x:v>INV-SIM-005</x:v>
      </x:c>
      <x:c r="AD6" s="14" t="str">
        <x:v>RUN-SIM-005</x:v>
      </x:c>
      <x:c r="AE6" s="14" t="str">
        <x:v>SYNTHETIC-ROW-005</x:v>
      </x:c>
      <x:c r="AF6" s="14" t="str">
        <x:v>DUP-SIM-005</x:v>
      </x:c>
      <x:c r="AG6" s="14" t="str">
        <x:v>Y</x:v>
      </x:c>
      <x:c r="AH6" s="14" t="str">
        <x:v>proxy_factor_pending</x:v>
      </x:c>
      <x:c r="AI6" s="14" t="str">
        <x:v>合成 simulated 测试记录；排放因子为代理值，待核验；不得用于正式入账。</x:v>
      </x:c>
      <x:c r="AJ6" t="str">
        <x:f>IF(A6="","",IF(OR(COUNT(L6)=0,M6="",COUNT(T6)=0,U6="",C6="",F6="",G6="",J6="",COUNT(N6)=0,COUNT(O6)=0,AB6="",AD6="",AE6=""),"BLOCK_MISSING_REQUIRED",IF(L6&lt;0,"BLOCK_NEGATIVE_ACTIVITY",IF(AND(M6&lt;&gt;"L",M6&lt;&gt;"kWh",M6&lt;&gt;"km",M6&lt;&gt;"t"),"BLOCK_UNSUPPORTED_UNIT",IF(OR(AND(M6="L",U6&lt;&gt;"kgCO2e/L"),AND(M6="kWh",U6&lt;&gt;"kgCO2e/kWh"),AND(M6="km",U6&lt;&gt;"kgCO2e/km"),AND(M6="t",U6&lt;&gt;"kgCO2e/t")),"BLOCK_UNIT_MISMATCH",IF(COUNTIF($A$2:$A$101,A6)&gt;1,"BLOCK_DUPLICATE_LEDGER_ID",IF(AN6&lt;&gt;"PASS_UNIQUE_PHYSICAL_TRIP","BLOCK_POSSIBLE_PHYSICAL_DUPLICATE",IF(AND(Z6="simulated",AA6="yes"),"PASS_SIMULATED_ONLY",IF(AND(Z6="actual",AA6&lt;&gt;"yes",W6="factor_verified",AB6&lt;&gt;"",AD6&lt;&gt;"",AE6&lt;&gt;""),"PASS_FORMAL_PRECHECK","REVIEW_DATA_STATUS")))))))))</x:f>
        <x:v>PASS_SIMULATED_ONLY</x:v>
      </x:c>
      <x:c r="AK6" t="str">
        <x:f>IF(AJ6="","",IF(AJ6="BLOCK_MISSING_REQUIRED","缺少活动量/单位/因子/趟次关键字段/证据标识",IF(AJ6="BLOCK_NEGATIVE_ACTIVITY","活动量为负，禁止进入汇总",IF(AJ6="BLOCK_UNSUPPORTED_UNIT","活动单位不在允许单位白名单中",IF(AJ6="BLOCK_UNIT_MISMATCH","活动单位与因子单位不匹配",IF(AJ6="BLOCK_DUPLICATE_LEDGER_ID","台账行ID重复，需复核",IF(AJ6="BLOCK_POSSIBLE_PHYSICAL_DUPLICATE","疑似同一物理趟次/来源行重复，冻结汇总并复核",IF(AJ6="PASS_SIMULATED_ONLY","结构检查通过，但仅供 simulated 测试",IF(AJ6="PASS_FORMAL_PRECHECK","通过结构预检；仍需人工/负责人审批","数据状态需人工复核")))))))))</x:f>
        <x:v>结构检查通过，但仅供 simulated 测试</x:v>
      </x:c>
      <x:c r="AL6" t="str">
        <x:f>IF(A6="","",IF(OR(Z6="simulated",AA6="yes",W6&lt;&gt;"factor_verified",AJ6&lt;&gt;"PASS_FORMAL_PRECHECK",AB6="",AD6="",AE6=""),"NOT_FORMAL_USE","ELIGIBLE_FOR_REVIEW_NOT_APPROVED"))</x:f>
        <x:v>NOT_FORMAL_USE</x:v>
      </x:c>
      <x:c r="AM6" s="12" t="str">
        <x:f>IF(OR(F6="",G6="",J6="",COUNT(L6)=0,M6="",COUNT(N6)=0,COUNT(O6)=0),"",UPPER(F6&amp;"|"&amp;G6&amp;"|"&amp;J6&amp;"|"&amp;TEXT(N6,"0.000")&amp;"|"&amp;TEXT(O6,"0.000")&amp;"|"&amp;TEXT(L6,"0.000")&amp;"|"&amp;M6))</x:f>
        <x:v>VH-SIM-003|2026-10-30|柴油消耗|122.000|2.200|53.200|L</x:v>
      </x:c>
      <x:c r="AN6" s="12" t="str">
        <x:f>IF(A6="","",IF(OR(COUNTIF($C$2:$C$101,C6)&gt;1,AND(AE6&lt;&gt;"",COUNTIF($AE$2:$AE$101,AE6)&gt;1),AND(AM6&lt;&gt;"",COUNTIF($AM$2:$AM$101,AM6)&gt;1)),"BLOCK_POSSIBLE_PHYSICAL_DUPLICATE","PASS_UNIQUE_PHYSICAL_TRIP"))</x:f>
        <x:v>PASS_UNIQUE_PHYSICAL_TRIP</x:v>
      </x:c>
      <x:c r="AO6" s="12" t="str">
        <x:v>not approved</x:v>
      </x:c>
      <x:c r="AP6" s="12" t="str">
        <x:f>IF(A6="","",IF(AND(Z6="actual",AA6&lt;&gt;"yes",W6="factor_verified",AJ6="PASS_FORMAL_PRECHECK",AN6="PASS_UNIQUE_PHYSICAL_TRIP",AO6="approved",AB6&lt;&gt;"",AD6&lt;&gt;"",AE6&lt;&gt;""),"FORMAL_APPROVED","EXCLUDED_NOT_FORMALLY_APPROVED"))</x:f>
        <x:v>EXCLUDED_NOT_FORMALLY_APPROVED</x:v>
      </x:c>
    </x:row>
    <x:row r="7">
      <x:c r="A7" s="14" t="str">
        <x:v>LR-SIM-0006</x:v>
      </x:c>
      <x:c r="B7" s="14" t="str">
        <x:v>ACT-SIM-0006</x:v>
      </x:c>
      <x:c r="C7" s="14" t="str">
        <x:v>TRIP-SIM-006</x:v>
      </x:c>
      <x:c r="D7" s="14" t="str">
        <x:v>SEG-SIM-006</x:v>
      </x:c>
      <x:c r="E7" s="14" t="str">
        <x:v>WB-SIM-006</x:v>
      </x:c>
      <x:c r="F7" s="14" t="str">
        <x:v>VH-SIM-004</x:v>
      </x:c>
      <x:c r="G7" s="14" t="str">
        <x:v>2026-11-01</x:v>
      </x:c>
      <x:c r="H7" s="14" t="str">
        <x:f>IF(G7="","",LEFT(G7,7))</x:f>
        <x:v>2026-11</x:v>
      </x:c>
      <x:c r="I7" s="14" t="str">
        <x:f>IF(G7="","",LEFT(G7,4))</x:f>
        <x:v>2026</x:v>
      </x:c>
      <x:c r="J7" s="14" t="str">
        <x:v>电力消耗（测试）</x:v>
      </x:c>
      <x:c r="K7" s="14" t="str">
        <x:v>Scope 2候选</x:v>
      </x:c>
      <x:c r="L7" s="14" t="n">
        <x:v>100</x:v>
      </x:c>
      <x:c r="M7" s="14" t="str">
        <x:v>kWh</x:v>
      </x:c>
      <x:c r="N7" s="14" t="n">
        <x:v>45</x:v>
      </x:c>
      <x:c r="O7" s="14" t="n">
        <x:v>0.3</x:v>
      </x:c>
      <x:c r="P7" s="14" t="n">
        <x:v>0.8</x:v>
      </x:c>
      <x:c r="Q7" s="14" t="n">
        <x:v>28</x:v>
      </x:c>
      <x:c r="R7" s="14" t="n">
        <x:v>15</x:v>
      </x:c>
      <x:c r="S7" s="14" t="n">
        <x:v>20</x:v>
      </x:c>
      <x:c r="T7" s="14" t="n">
        <x:v>0.5568</x:v>
      </x:c>
      <x:c r="U7" s="14" t="str">
        <x:v>kgCO2e/kWh</x:v>
      </x:c>
      <x:c r="V7" s="14" t="str">
        <x:v>5 / SRC-004</x:v>
      </x:c>
      <x:c r="W7" s="14" t="str">
        <x:v>proxy_pending_verification</x:v>
      </x:c>
      <x:c r="X7" s="14" t="n">
        <x:f>IF(OR(L7="",T7=""),"",L7*T7)</x:f>
        <x:v>55.67999999999999</x:v>
      </x:c>
      <x:c r="Y7" s="14" t="n">
        <x:f>IF(X7="","",X7/1000)</x:f>
        <x:v>0.05567999999999999</x:v>
      </x:c>
      <x:c r="Z7" s="14" t="str">
        <x:v>simulated</x:v>
      </x:c>
      <x:c r="AA7" s="14" t="str">
        <x:v>yes</x:v>
      </x:c>
      <x:c r="AB7" s="14" t="str">
        <x:v>EVD-SIM-006</x:v>
      </x:c>
      <x:c r="AC7" s="14" t="str">
        <x:v>INV-SIM-006</x:v>
      </x:c>
      <x:c r="AD7" s="14" t="str">
        <x:v>RUN-SIM-006</x:v>
      </x:c>
      <x:c r="AE7" s="14" t="str">
        <x:v>SYNTHETIC-ROW-006</x:v>
      </x:c>
      <x:c r="AF7" s="14" t="str">
        <x:v>DUP-SIM-006</x:v>
      </x:c>
      <x:c r="AG7" s="14" t="str">
        <x:v>Y</x:v>
      </x:c>
      <x:c r="AH7" s="14" t="str">
        <x:v>proxy_factor_pending</x:v>
      </x:c>
      <x:c r="AI7" s="14" t="str">
        <x:v>合成 simulated 测试记录；排放因子为代理值，待核验；不得用于正式入账。</x:v>
      </x:c>
      <x:c r="AJ7" t="str">
        <x:f>IF(A7="","",IF(OR(COUNT(L7)=0,M7="",COUNT(T7)=0,U7="",C7="",F7="",G7="",J7="",COUNT(N7)=0,COUNT(O7)=0,AB7="",AD7="",AE7=""),"BLOCK_MISSING_REQUIRED",IF(L7&lt;0,"BLOCK_NEGATIVE_ACTIVITY",IF(AND(M7&lt;&gt;"L",M7&lt;&gt;"kWh",M7&lt;&gt;"km",M7&lt;&gt;"t"),"BLOCK_UNSUPPORTED_UNIT",IF(OR(AND(M7="L",U7&lt;&gt;"kgCO2e/L"),AND(M7="kWh",U7&lt;&gt;"kgCO2e/kWh"),AND(M7="km",U7&lt;&gt;"kgCO2e/km"),AND(M7="t",U7&lt;&gt;"kgCO2e/t")),"BLOCK_UNIT_MISMATCH",IF(COUNTIF($A$2:$A$101,A7)&gt;1,"BLOCK_DUPLICATE_LEDGER_ID",IF(AN7&lt;&gt;"PASS_UNIQUE_PHYSICAL_TRIP","BLOCK_POSSIBLE_PHYSICAL_DUPLICATE",IF(AND(Z7="simulated",AA7="yes"),"PASS_SIMULATED_ONLY",IF(AND(Z7="actual",AA7&lt;&gt;"yes",W7="factor_verified",AB7&lt;&gt;"",AD7&lt;&gt;"",AE7&lt;&gt;""),"PASS_FORMAL_PRECHECK","REVIEW_DATA_STATUS")))))))))</x:f>
        <x:v>PASS_SIMULATED_ONLY</x:v>
      </x:c>
      <x:c r="AK7" t="str">
        <x:f>IF(AJ7="","",IF(AJ7="BLOCK_MISSING_REQUIRED","缺少活动量/单位/因子/趟次关键字段/证据标识",IF(AJ7="BLOCK_NEGATIVE_ACTIVITY","活动量为负，禁止进入汇总",IF(AJ7="BLOCK_UNSUPPORTED_UNIT","活动单位不在允许单位白名单中",IF(AJ7="BLOCK_UNIT_MISMATCH","活动单位与因子单位不匹配",IF(AJ7="BLOCK_DUPLICATE_LEDGER_ID","台账行ID重复，需复核",IF(AJ7="BLOCK_POSSIBLE_PHYSICAL_DUPLICATE","疑似同一物理趟次/来源行重复，冻结汇总并复核",IF(AJ7="PASS_SIMULATED_ONLY","结构检查通过，但仅供 simulated 测试",IF(AJ7="PASS_FORMAL_PRECHECK","通过结构预检；仍需人工/负责人审批","数据状态需人工复核")))))))))</x:f>
        <x:v>结构检查通过，但仅供 simulated 测试</x:v>
      </x:c>
      <x:c r="AL7" t="str">
        <x:f>IF(A7="","",IF(OR(Z7="simulated",AA7="yes",W7&lt;&gt;"factor_verified",AJ7&lt;&gt;"PASS_FORMAL_PRECHECK",AB7="",AD7="",AE7=""),"NOT_FORMAL_USE","ELIGIBLE_FOR_REVIEW_NOT_APPROVED"))</x:f>
        <x:v>NOT_FORMAL_USE</x:v>
      </x:c>
      <x:c r="AM7" s="12" t="str">
        <x:f>IF(OR(F7="",G7="",J7="",COUNT(L7)=0,M7="",COUNT(N7)=0,COUNT(O7)=0),"",UPPER(F7&amp;"|"&amp;G7&amp;"|"&amp;J7&amp;"|"&amp;TEXT(N7,"0.000")&amp;"|"&amp;TEXT(O7,"0.000")&amp;"|"&amp;TEXT(L7,"0.000")&amp;"|"&amp;M7))</x:f>
        <x:v>VH-SIM-004|2026-11-01|电力消耗（测试）|45.000|0.300|100.000|KWH</x:v>
      </x:c>
      <x:c r="AN7" s="12" t="str">
        <x:f>IF(A7="","",IF(OR(COUNTIF($C$2:$C$101,C7)&gt;1,AND(AE7&lt;&gt;"",COUNTIF($AE$2:$AE$101,AE7)&gt;1),AND(AM7&lt;&gt;"",COUNTIF($AM$2:$AM$101,AM7)&gt;1)),"BLOCK_POSSIBLE_PHYSICAL_DUPLICATE","PASS_UNIQUE_PHYSICAL_TRIP"))</x:f>
        <x:v>PASS_UNIQUE_PHYSICAL_TRIP</x:v>
      </x:c>
      <x:c r="AO7" s="12" t="str">
        <x:v>not approved</x:v>
      </x:c>
      <x:c r="AP7" s="12" t="str">
        <x:f>IF(A7="","",IF(AND(Z7="actual",AA7&lt;&gt;"yes",W7="factor_verified",AJ7="PASS_FORMAL_PRECHECK",AN7="PASS_UNIQUE_PHYSICAL_TRIP",AO7="approved",AB7&lt;&gt;"",AD7&lt;&gt;"",AE7&lt;&gt;""),"FORMAL_APPROVED","EXCLUDED_NOT_FORMALLY_APPROVED"))</x:f>
        <x:v>EXCLUDED_NOT_FORMALLY_APPROVED</x:v>
      </x:c>
    </x:row>
    <x:row r="8">
      <x:c r="A8" s="14" t="str">
        <x:v>LR-SIM-0007</x:v>
      </x:c>
      <x:c r="B8" s="14" t="str">
        <x:v>ACT-SIM-0007</x:v>
      </x:c>
      <x:c r="C8" s="14" t="str">
        <x:v>TRIP-SIM-007</x:v>
      </x:c>
      <x:c r="D8" s="14" t="str">
        <x:v>SEG-SIM-007</x:v>
      </x:c>
      <x:c r="E8" s="14" t="str">
        <x:v>WB-SIM-007</x:v>
      </x:c>
      <x:c r="F8" s="14" t="str">
        <x:v>VH-SIM-005</x:v>
      </x:c>
      <x:c r="G8" s="14" t="str">
        <x:v>2026-11-05</x:v>
      </x:c>
      <x:c r="H8" s="14" t="str">
        <x:f>IF(G8="","",LEFT(G8,7))</x:f>
        <x:v>2026-11</x:v>
      </x:c>
      <x:c r="I8" s="14" t="str">
        <x:f>IF(G8="","",LEFT(G8,4))</x:f>
        <x:v>2026</x:v>
      </x:c>
      <x:c r="J8" s="14" t="str">
        <x:v>柴油消耗</x:v>
      </x:c>
      <x:c r="K8" s="14" t="str">
        <x:v>Scope 1候选</x:v>
      </x:c>
      <x:c r="L8" s="14" t="n">
        <x:v>91</x:v>
      </x:c>
      <x:c r="M8" s="14" t="str">
        <x:v>L</x:v>
      </x:c>
      <x:c r="N8" s="14" t="n">
        <x:v>340</x:v>
      </x:c>
      <x:c r="O8" s="14" t="n">
        <x:v>4.4</x:v>
      </x:c>
      <x:c r="P8" s="14" t="n">
        <x:v>7.1</x:v>
      </x:c>
      <x:c r="Q8" s="14" t="n">
        <x:v>46</x:v>
      </x:c>
      <x:c r="R8" s="14" t="n">
        <x:v>14</x:v>
      </x:c>
      <x:c r="S8" s="14" t="n">
        <x:v>55</x:v>
      </x:c>
      <x:c r="T8" s="14" t="n">
        <x:v>3.16</x:v>
      </x:c>
      <x:c r="U8" s="14" t="str">
        <x:v>kgCO2e/L</x:v>
      </x:c>
      <x:c r="V8" s="14" t="str">
        <x:v>5 / SRC-004</x:v>
      </x:c>
      <x:c r="W8" s="14" t="str">
        <x:v>proxy_pending_verification</x:v>
      </x:c>
      <x:c r="X8" s="14" t="n">
        <x:f>IF(OR(L8="",T8=""),"",L8*T8)</x:f>
        <x:v>287.56</x:v>
      </x:c>
      <x:c r="Y8" s="14" t="n">
        <x:f>IF(X8="","",X8/1000)</x:f>
        <x:v>0.28756</x:v>
      </x:c>
      <x:c r="Z8" s="14" t="str">
        <x:v>simulated</x:v>
      </x:c>
      <x:c r="AA8" s="14" t="str">
        <x:v>yes</x:v>
      </x:c>
      <x:c r="AB8" s="14" t="str">
        <x:v>EVD-SIM-007</x:v>
      </x:c>
      <x:c r="AC8" s="14" t="str">
        <x:v>INV-SIM-007</x:v>
      </x:c>
      <x:c r="AD8" s="14" t="str">
        <x:v>RUN-SIM-007</x:v>
      </x:c>
      <x:c r="AE8" s="14" t="str">
        <x:v>SYNTHETIC-ROW-007</x:v>
      </x:c>
      <x:c r="AF8" s="14" t="str">
        <x:v>DUP-SIM-007</x:v>
      </x:c>
      <x:c r="AG8" s="14" t="str">
        <x:v>Y</x:v>
      </x:c>
      <x:c r="AH8" s="14" t="str">
        <x:v>proxy_factor_pending</x:v>
      </x:c>
      <x:c r="AI8" s="14" t="str">
        <x:v>合成 simulated 测试记录；排放因子为代理值，待核验；不得用于正式入账。</x:v>
      </x:c>
      <x:c r="AJ8" t="str">
        <x:f>IF(A8="","",IF(OR(COUNT(L8)=0,M8="",COUNT(T8)=0,U8="",C8="",F8="",G8="",J8="",COUNT(N8)=0,COUNT(O8)=0,AB8="",AD8="",AE8=""),"BLOCK_MISSING_REQUIRED",IF(L8&lt;0,"BLOCK_NEGATIVE_ACTIVITY",IF(AND(M8&lt;&gt;"L",M8&lt;&gt;"kWh",M8&lt;&gt;"km",M8&lt;&gt;"t"),"BLOCK_UNSUPPORTED_UNIT",IF(OR(AND(M8="L",U8&lt;&gt;"kgCO2e/L"),AND(M8="kWh",U8&lt;&gt;"kgCO2e/kWh"),AND(M8="km",U8&lt;&gt;"kgCO2e/km"),AND(M8="t",U8&lt;&gt;"kgCO2e/t")),"BLOCK_UNIT_MISMATCH",IF(COUNTIF($A$2:$A$101,A8)&gt;1,"BLOCK_DUPLICATE_LEDGER_ID",IF(AN8&lt;&gt;"PASS_UNIQUE_PHYSICAL_TRIP","BLOCK_POSSIBLE_PHYSICAL_DUPLICATE",IF(AND(Z8="simulated",AA8="yes"),"PASS_SIMULATED_ONLY",IF(AND(Z8="actual",AA8&lt;&gt;"yes",W8="factor_verified",AB8&lt;&gt;"",AD8&lt;&gt;"",AE8&lt;&gt;""),"PASS_FORMAL_PRECHECK","REVIEW_DATA_STATUS")))))))))</x:f>
        <x:v>PASS_SIMULATED_ONLY</x:v>
      </x:c>
      <x:c r="AK8" t="str">
        <x:f>IF(AJ8="","",IF(AJ8="BLOCK_MISSING_REQUIRED","缺少活动量/单位/因子/趟次关键字段/证据标识",IF(AJ8="BLOCK_NEGATIVE_ACTIVITY","活动量为负，禁止进入汇总",IF(AJ8="BLOCK_UNSUPPORTED_UNIT","活动单位不在允许单位白名单中",IF(AJ8="BLOCK_UNIT_MISMATCH","活动单位与因子单位不匹配",IF(AJ8="BLOCK_DUPLICATE_LEDGER_ID","台账行ID重复，需复核",IF(AJ8="BLOCK_POSSIBLE_PHYSICAL_DUPLICATE","疑似同一物理趟次/来源行重复，冻结汇总并复核",IF(AJ8="PASS_SIMULATED_ONLY","结构检查通过，但仅供 simulated 测试",IF(AJ8="PASS_FORMAL_PRECHECK","通过结构预检；仍需人工/负责人审批","数据状态需人工复核")))))))))</x:f>
        <x:v>结构检查通过，但仅供 simulated 测试</x:v>
      </x:c>
      <x:c r="AL8" t="str">
        <x:f>IF(A8="","",IF(OR(Z8="simulated",AA8="yes",W8&lt;&gt;"factor_verified",AJ8&lt;&gt;"PASS_FORMAL_PRECHECK",AB8="",AD8="",AE8=""),"NOT_FORMAL_USE","ELIGIBLE_FOR_REVIEW_NOT_APPROVED"))</x:f>
        <x:v>NOT_FORMAL_USE</x:v>
      </x:c>
      <x:c r="AM8" s="12" t="str">
        <x:f>IF(OR(F8="",G8="",J8="",COUNT(L8)=0,M8="",COUNT(N8)=0,COUNT(O8)=0),"",UPPER(F8&amp;"|"&amp;G8&amp;"|"&amp;J8&amp;"|"&amp;TEXT(N8,"0.000")&amp;"|"&amp;TEXT(O8,"0.000")&amp;"|"&amp;TEXT(L8,"0.000")&amp;"|"&amp;M8))</x:f>
        <x:v>VH-SIM-005|2026-11-05|柴油消耗|340.000|4.400|91.000|L</x:v>
      </x:c>
      <x:c r="AN8" s="12" t="str">
        <x:f>IF(A8="","",IF(OR(COUNTIF($C$2:$C$101,C8)&gt;1,AND(AE8&lt;&gt;"",COUNTIF($AE$2:$AE$101,AE8)&gt;1),AND(AM8&lt;&gt;"",COUNTIF($AM$2:$AM$101,AM8)&gt;1)),"BLOCK_POSSIBLE_PHYSICAL_DUPLICATE","PASS_UNIQUE_PHYSICAL_TRIP"))</x:f>
        <x:v>PASS_UNIQUE_PHYSICAL_TRIP</x:v>
      </x:c>
      <x:c r="AO8" s="12" t="str">
        <x:v>not approved</x:v>
      </x:c>
      <x:c r="AP8" s="12" t="str">
        <x:f>IF(A8="","",IF(AND(Z8="actual",AA8&lt;&gt;"yes",W8="factor_verified",AJ8="PASS_FORMAL_PRECHECK",AN8="PASS_UNIQUE_PHYSICAL_TRIP",AO8="approved",AB8&lt;&gt;"",AD8&lt;&gt;"",AE8&lt;&gt;""),"FORMAL_APPROVED","EXCLUDED_NOT_FORMALLY_APPROVED"))</x:f>
        <x:v>EXCLUDED_NOT_FORMALLY_APPROVED</x:v>
      </x:c>
    </x:row>
    <x:row r="9">
      <x:c r="A9" s="14" t="str">
        <x:v>LR-SIM-0008</x:v>
      </x:c>
      <x:c r="B9" s="14" t="str">
        <x:v>ACT-SIM-0008</x:v>
      </x:c>
      <x:c r="C9" s="14" t="str">
        <x:v>TRIP-SIM-008</x:v>
      </x:c>
      <x:c r="D9" s="14" t="str">
        <x:v>SEG-SIM-008</x:v>
      </x:c>
      <x:c r="E9" s="14" t="str">
        <x:v>WB-SIM-008</x:v>
      </x:c>
      <x:c r="F9" s="14" t="str">
        <x:v>VH-SIM-006</x:v>
      </x:c>
      <x:c r="G9" s="14" t="str">
        <x:v>2026-11-18</x:v>
      </x:c>
      <x:c r="H9" s="14" t="str">
        <x:f>IF(G9="","",LEFT(G9,7))</x:f>
        <x:v>2026-11</x:v>
      </x:c>
      <x:c r="I9" s="14" t="str">
        <x:f>IF(G9="","",LEFT(G9,4))</x:f>
        <x:v>2026</x:v>
      </x:c>
      <x:c r="J9" s="14" t="str">
        <x:v>柴油消耗</x:v>
      </x:c>
      <x:c r="K9" s="14" t="str">
        <x:v>Scope 1候选</x:v>
      </x:c>
      <x:c r="L9" s="14" t="n">
        <x:v>76.5</x:v>
      </x:c>
      <x:c r="M9" s="14" t="str">
        <x:v>L</x:v>
      </x:c>
      <x:c r="N9" s="14" t="n">
        <x:v>280</x:v>
      </x:c>
      <x:c r="O9" s="14" t="n">
        <x:v>3.4</x:v>
      </x:c>
      <x:c r="P9" s="14" t="n">
        <x:v>6.2</x:v>
      </x:c>
      <x:c r="Q9" s="14" t="n">
        <x:v>50</x:v>
      </x:c>
      <x:c r="R9" s="14" t="n">
        <x:v>11</x:v>
      </x:c>
      <x:c r="S9" s="14" t="n">
        <x:v>60</x:v>
      </x:c>
      <x:c r="T9" s="14" t="n">
        <x:v>3.16</x:v>
      </x:c>
      <x:c r="U9" s="14" t="str">
        <x:v>kgCO2e/L</x:v>
      </x:c>
      <x:c r="V9" s="14" t="str">
        <x:v>5 / SRC-004</x:v>
      </x:c>
      <x:c r="W9" s="14" t="str">
        <x:v>proxy_pending_verification</x:v>
      </x:c>
      <x:c r="X9" s="14" t="n">
        <x:f>IF(OR(L9="",T9=""),"",L9*T9)</x:f>
        <x:v>241.74</x:v>
      </x:c>
      <x:c r="Y9" s="14" t="n">
        <x:f>IF(X9="","",X9/1000)</x:f>
        <x:v>0.24174</x:v>
      </x:c>
      <x:c r="Z9" s="14" t="str">
        <x:v>simulated</x:v>
      </x:c>
      <x:c r="AA9" s="14" t="str">
        <x:v>yes</x:v>
      </x:c>
      <x:c r="AB9" s="14" t="str">
        <x:v>EVD-SIM-008</x:v>
      </x:c>
      <x:c r="AC9" s="14" t="str">
        <x:v>INV-SIM-008</x:v>
      </x:c>
      <x:c r="AD9" s="14" t="str">
        <x:v>RUN-SIM-008</x:v>
      </x:c>
      <x:c r="AE9" s="14" t="str">
        <x:v>SYNTHETIC-ROW-008</x:v>
      </x:c>
      <x:c r="AF9" s="14" t="str">
        <x:v>DUP-SIM-008</x:v>
      </x:c>
      <x:c r="AG9" s="14" t="str">
        <x:v>Y</x:v>
      </x:c>
      <x:c r="AH9" s="14" t="str">
        <x:v>proxy_factor_pending</x:v>
      </x:c>
      <x:c r="AI9" s="14" t="str">
        <x:v>合成 simulated 测试记录；排放因子为代理值，待核验；不得用于正式入账。</x:v>
      </x:c>
      <x:c r="AJ9" t="str">
        <x:f>IF(A9="","",IF(OR(COUNT(L9)=0,M9="",COUNT(T9)=0,U9="",C9="",F9="",G9="",J9="",COUNT(N9)=0,COUNT(O9)=0,AB9="",AD9="",AE9=""),"BLOCK_MISSING_REQUIRED",IF(L9&lt;0,"BLOCK_NEGATIVE_ACTIVITY",IF(AND(M9&lt;&gt;"L",M9&lt;&gt;"kWh",M9&lt;&gt;"km",M9&lt;&gt;"t"),"BLOCK_UNSUPPORTED_UNIT",IF(OR(AND(M9="L",U9&lt;&gt;"kgCO2e/L"),AND(M9="kWh",U9&lt;&gt;"kgCO2e/kWh"),AND(M9="km",U9&lt;&gt;"kgCO2e/km"),AND(M9="t",U9&lt;&gt;"kgCO2e/t")),"BLOCK_UNIT_MISMATCH",IF(COUNTIF($A$2:$A$101,A9)&gt;1,"BLOCK_DUPLICATE_LEDGER_ID",IF(AN9&lt;&gt;"PASS_UNIQUE_PHYSICAL_TRIP","BLOCK_POSSIBLE_PHYSICAL_DUPLICATE",IF(AND(Z9="simulated",AA9="yes"),"PASS_SIMULATED_ONLY",IF(AND(Z9="actual",AA9&lt;&gt;"yes",W9="factor_verified",AB9&lt;&gt;"",AD9&lt;&gt;"",AE9&lt;&gt;""),"PASS_FORMAL_PRECHECK","REVIEW_DATA_STATUS")))))))))</x:f>
        <x:v>PASS_SIMULATED_ONLY</x:v>
      </x:c>
      <x:c r="AK9" t="str">
        <x:f>IF(AJ9="","",IF(AJ9="BLOCK_MISSING_REQUIRED","缺少活动量/单位/因子/趟次关键字段/证据标识",IF(AJ9="BLOCK_NEGATIVE_ACTIVITY","活动量为负，禁止进入汇总",IF(AJ9="BLOCK_UNSUPPORTED_UNIT","活动单位不在允许单位白名单中",IF(AJ9="BLOCK_UNIT_MISMATCH","活动单位与因子单位不匹配",IF(AJ9="BLOCK_DUPLICATE_LEDGER_ID","台账行ID重复，需复核",IF(AJ9="BLOCK_POSSIBLE_PHYSICAL_DUPLICATE","疑似同一物理趟次/来源行重复，冻结汇总并复核",IF(AJ9="PASS_SIMULATED_ONLY","结构检查通过，但仅供 simulated 测试",IF(AJ9="PASS_FORMAL_PRECHECK","通过结构预检；仍需人工/负责人审批","数据状态需人工复核")))))))))</x:f>
        <x:v>结构检查通过，但仅供 simulated 测试</x:v>
      </x:c>
      <x:c r="AL9" t="str">
        <x:f>IF(A9="","",IF(OR(Z9="simulated",AA9="yes",W9&lt;&gt;"factor_verified",AJ9&lt;&gt;"PASS_FORMAL_PRECHECK",AB9="",AD9="",AE9=""),"NOT_FORMAL_USE","ELIGIBLE_FOR_REVIEW_NOT_APPROVED"))</x:f>
        <x:v>NOT_FORMAL_USE</x:v>
      </x:c>
      <x:c r="AM9" s="12" t="str">
        <x:f>IF(OR(F9="",G9="",J9="",COUNT(L9)=0,M9="",COUNT(N9)=0,COUNT(O9)=0),"",UPPER(F9&amp;"|"&amp;G9&amp;"|"&amp;J9&amp;"|"&amp;TEXT(N9,"0.000")&amp;"|"&amp;TEXT(O9,"0.000")&amp;"|"&amp;TEXT(L9,"0.000")&amp;"|"&amp;M9))</x:f>
        <x:v>VH-SIM-006|2026-11-18|柴油消耗|280.000|3.400|76.500|L</x:v>
      </x:c>
      <x:c r="AN9" s="12" t="str">
        <x:f>IF(A9="","",IF(OR(COUNTIF($C$2:$C$101,C9)&gt;1,AND(AE9&lt;&gt;"",COUNTIF($AE$2:$AE$101,AE9)&gt;1),AND(AM9&lt;&gt;"",COUNTIF($AM$2:$AM$101,AM9)&gt;1)),"BLOCK_POSSIBLE_PHYSICAL_DUPLICATE","PASS_UNIQUE_PHYSICAL_TRIP"))</x:f>
        <x:v>PASS_UNIQUE_PHYSICAL_TRIP</x:v>
      </x:c>
      <x:c r="AO9" s="12" t="str">
        <x:v>not approved</x:v>
      </x:c>
      <x:c r="AP9" s="12" t="str">
        <x:f>IF(A9="","",IF(AND(Z9="actual",AA9&lt;&gt;"yes",W9="factor_verified",AJ9="PASS_FORMAL_PRECHECK",AN9="PASS_UNIQUE_PHYSICAL_TRIP",AO9="approved",AB9&lt;&gt;"",AD9&lt;&gt;"",AE9&lt;&gt;""),"FORMAL_APPROVED","EXCLUDED_NOT_FORMALLY_APPROVED"))</x:f>
        <x:v>EXCLUDED_NOT_FORMALLY_APPROVED</x:v>
      </x:c>
    </x:row>
    <x:row r="10">
      <x:c r="A10" s="14" t="str">
        <x:v>LR-SIM-0009</x:v>
      </x:c>
      <x:c r="B10" s="14" t="str">
        <x:v>ACT-SIM-0009</x:v>
      </x:c>
      <x:c r="C10" s="14" t="str">
        <x:v>TRIP-SIM-009</x:v>
      </x:c>
      <x:c r="D10" s="14" t="str">
        <x:v>SEG-SIM-009</x:v>
      </x:c>
      <x:c r="E10" s="14" t="str">
        <x:v>WB-SIM-009</x:v>
      </x:c>
      <x:c r="F10" s="14" t="str">
        <x:v>VH-SIM-007</x:v>
      </x:c>
      <x:c r="G10" s="14" t="str">
        <x:v>2026-11-28</x:v>
      </x:c>
      <x:c r="H10" s="14" t="str">
        <x:f>IF(G10="","",LEFT(G10,7))</x:f>
        <x:v>2026-11</x:v>
      </x:c>
      <x:c r="I10" s="14" t="str">
        <x:f>IF(G10="","",LEFT(G10,4))</x:f>
        <x:v>2026</x:v>
      </x:c>
      <x:c r="J10" s="14" t="str">
        <x:v>电力消耗（测试）</x:v>
      </x:c>
      <x:c r="K10" s="14" t="str">
        <x:v>Scope 2候选</x:v>
      </x:c>
      <x:c r="L10" s="14" t="n">
        <x:v>1000</x:v>
      </x:c>
      <x:c r="M10" s="14" t="str">
        <x:v>kWh</x:v>
      </x:c>
      <x:c r="N10" s="14" t="n">
        <x:v>510</x:v>
      </x:c>
      <x:c r="O10" s="14" t="n">
        <x:v>1</x:v>
      </x:c>
      <x:c r="P10" s="14" t="n">
        <x:v>1.8</x:v>
      </x:c>
      <x:c r="Q10" s="14" t="n">
        <x:v>25</x:v>
      </x:c>
      <x:c r="R10" s="14" t="n">
        <x:v>9</x:v>
      </x:c>
      <x:c r="S10" s="14" t="n">
        <x:v>30</x:v>
      </x:c>
      <x:c r="T10" s="14" t="n">
        <x:v>0.5568</x:v>
      </x:c>
      <x:c r="U10" s="14" t="str">
        <x:v>kgCO2e/kWh</x:v>
      </x:c>
      <x:c r="V10" s="14" t="str">
        <x:v>5 / SRC-004</x:v>
      </x:c>
      <x:c r="W10" s="14" t="str">
        <x:v>proxy_pending_verification</x:v>
      </x:c>
      <x:c r="X10" s="14" t="n">
        <x:f>IF(OR(L10="",T10=""),"",L10*T10)</x:f>
        <x:v>556.8</x:v>
      </x:c>
      <x:c r="Y10" s="14" t="n">
        <x:f>IF(X10="","",X10/1000)</x:f>
        <x:v>0.5568</x:v>
      </x:c>
      <x:c r="Z10" s="14" t="str">
        <x:v>simulated</x:v>
      </x:c>
      <x:c r="AA10" s="14" t="str">
        <x:v>yes</x:v>
      </x:c>
      <x:c r="AB10" s="14" t="str">
        <x:v>EVD-SIM-009</x:v>
      </x:c>
      <x:c r="AC10" s="14" t="str">
        <x:v>INV-SIM-009</x:v>
      </x:c>
      <x:c r="AD10" s="14" t="str">
        <x:v>RUN-SIM-009</x:v>
      </x:c>
      <x:c r="AE10" s="14" t="str">
        <x:v>SYNTHETIC-ROW-009</x:v>
      </x:c>
      <x:c r="AF10" s="14" t="str">
        <x:v>DUP-SIM-009</x:v>
      </x:c>
      <x:c r="AG10" s="14" t="str">
        <x:v>Y</x:v>
      </x:c>
      <x:c r="AH10" s="14" t="str">
        <x:v>proxy_factor_pending</x:v>
      </x:c>
      <x:c r="AI10" s="14" t="str">
        <x:v>合成 simulated 测试记录；排放因子为代理值，待核验；不得用于正式入账。</x:v>
      </x:c>
      <x:c r="AJ10" t="str">
        <x:f>IF(A10="","",IF(OR(COUNT(L10)=0,M10="",COUNT(T10)=0,U10="",C10="",F10="",G10="",J10="",COUNT(N10)=0,COUNT(O10)=0,AB10="",AD10="",AE10=""),"BLOCK_MISSING_REQUIRED",IF(L10&lt;0,"BLOCK_NEGATIVE_ACTIVITY",IF(AND(M10&lt;&gt;"L",M10&lt;&gt;"kWh",M10&lt;&gt;"km",M10&lt;&gt;"t"),"BLOCK_UNSUPPORTED_UNIT",IF(OR(AND(M10="L",U10&lt;&gt;"kgCO2e/L"),AND(M10="kWh",U10&lt;&gt;"kgCO2e/kWh"),AND(M10="km",U10&lt;&gt;"kgCO2e/km"),AND(M10="t",U10&lt;&gt;"kgCO2e/t")),"BLOCK_UNIT_MISMATCH",IF(COUNTIF($A$2:$A$101,A10)&gt;1,"BLOCK_DUPLICATE_LEDGER_ID",IF(AN10&lt;&gt;"PASS_UNIQUE_PHYSICAL_TRIP","BLOCK_POSSIBLE_PHYSICAL_DUPLICATE",IF(AND(Z10="simulated",AA10="yes"),"PASS_SIMULATED_ONLY",IF(AND(Z10="actual",AA10&lt;&gt;"yes",W10="factor_verified",AB10&lt;&gt;"",AD10&lt;&gt;"",AE10&lt;&gt;""),"PASS_FORMAL_PRECHECK","REVIEW_DATA_STATUS")))))))))</x:f>
        <x:v>PASS_SIMULATED_ONLY</x:v>
      </x:c>
      <x:c r="AK10" t="str">
        <x:f>IF(AJ10="","",IF(AJ10="BLOCK_MISSING_REQUIRED","缺少活动量/单位/因子/趟次关键字段/证据标识",IF(AJ10="BLOCK_NEGATIVE_ACTIVITY","活动量为负，禁止进入汇总",IF(AJ10="BLOCK_UNSUPPORTED_UNIT","活动单位不在允许单位白名单中",IF(AJ10="BLOCK_UNIT_MISMATCH","活动单位与因子单位不匹配",IF(AJ10="BLOCK_DUPLICATE_LEDGER_ID","台账行ID重复，需复核",IF(AJ10="BLOCK_POSSIBLE_PHYSICAL_DUPLICATE","疑似同一物理趟次/来源行重复，冻结汇总并复核",IF(AJ10="PASS_SIMULATED_ONLY","结构检查通过，但仅供 simulated 测试",IF(AJ10="PASS_FORMAL_PRECHECK","通过结构预检；仍需人工/负责人审批","数据状态需人工复核")))))))))</x:f>
        <x:v>结构检查通过，但仅供 simulated 测试</x:v>
      </x:c>
      <x:c r="AL10" t="str">
        <x:f>IF(A10="","",IF(OR(Z10="simulated",AA10="yes",W10&lt;&gt;"factor_verified",AJ10&lt;&gt;"PASS_FORMAL_PRECHECK",AB10="",AD10="",AE10=""),"NOT_FORMAL_USE","ELIGIBLE_FOR_REVIEW_NOT_APPROVED"))</x:f>
        <x:v>NOT_FORMAL_USE</x:v>
      </x:c>
      <x:c r="AM10" s="12" t="str">
        <x:f>IF(OR(F10="",G10="",J10="",COUNT(L10)=0,M10="",COUNT(N10)=0,COUNT(O10)=0),"",UPPER(F10&amp;"|"&amp;G10&amp;"|"&amp;J10&amp;"|"&amp;TEXT(N10,"0.000")&amp;"|"&amp;TEXT(O10,"0.000")&amp;"|"&amp;TEXT(L10,"0.000")&amp;"|"&amp;M10))</x:f>
        <x:v>VH-SIM-007|2026-11-28|电力消耗（测试）|510.000|1.000|1000.000|KWH</x:v>
      </x:c>
      <x:c r="AN10" s="12" t="str">
        <x:f>IF(A10="","",IF(OR(COUNTIF($C$2:$C$101,C10)&gt;1,AND(AE10&lt;&gt;"",COUNTIF($AE$2:$AE$101,AE10)&gt;1),AND(AM10&lt;&gt;"",COUNTIF($AM$2:$AM$101,AM10)&gt;1)),"BLOCK_POSSIBLE_PHYSICAL_DUPLICATE","PASS_UNIQUE_PHYSICAL_TRIP"))</x:f>
        <x:v>PASS_UNIQUE_PHYSICAL_TRIP</x:v>
      </x:c>
      <x:c r="AO10" s="12" t="str">
        <x:v>not approved</x:v>
      </x:c>
      <x:c r="AP10" s="12" t="str">
        <x:f>IF(A10="","",IF(AND(Z10="actual",AA10&lt;&gt;"yes",W10="factor_verified",AJ10="PASS_FORMAL_PRECHECK",AN10="PASS_UNIQUE_PHYSICAL_TRIP",AO10="approved",AB10&lt;&gt;"",AD10&lt;&gt;"",AE10&lt;&gt;""),"FORMAL_APPROVED","EXCLUDED_NOT_FORMALLY_APPROVED"))</x:f>
        <x:v>EXCLUDED_NOT_FORMALLY_APPROVED</x:v>
      </x:c>
    </x:row>
    <x:row r="11">
      <x:c r="A11" s="14" t="str">
        <x:v>LR-SIM-0010</x:v>
      </x:c>
      <x:c r="B11" s="14" t="str">
        <x:v>ACT-SIM-0010</x:v>
      </x:c>
      <x:c r="C11" s="14" t="str">
        <x:v>TRIP-SIM-010</x:v>
      </x:c>
      <x:c r="D11" s="14" t="str">
        <x:v>SEG-SIM-010</x:v>
      </x:c>
      <x:c r="E11" s="14" t="str">
        <x:v>WB-SIM-010-MULTI</x:v>
      </x:c>
      <x:c r="F11" s="14" t="str">
        <x:v>VH-SIM-008</x:v>
      </x:c>
      <x:c r="G11" s="14" t="str">
        <x:v>2026-12-02</x:v>
      </x:c>
      <x:c r="H11" s="14" t="str">
        <x:f>IF(G11="","",LEFT(G11,7))</x:f>
        <x:v>2026-12</x:v>
      </x:c>
      <x:c r="I11" s="14" t="str">
        <x:f>IF(G11="","",LEFT(G11,4))</x:f>
        <x:v>2026</x:v>
      </x:c>
      <x:c r="J11" s="14" t="str">
        <x:v>柴油消耗</x:v>
      </x:c>
      <x:c r="K11" s="14" t="str">
        <x:v>Scope 1候选</x:v>
      </x:c>
      <x:c r="L11" s="14" t="n">
        <x:v>38.7</x:v>
      </x:c>
      <x:c r="M11" s="14" t="str">
        <x:v>L</x:v>
      </x:c>
      <x:c r="N11" s="14" t="n">
        <x:v>115</x:v>
      </x:c>
      <x:c r="O11" s="14" t="n">
        <x:v>2.1</x:v>
      </x:c>
      <x:c r="P11" s="14" t="n">
        <x:v>4.1</x:v>
      </x:c>
      <x:c r="Q11" s="14" t="n">
        <x:v>42</x:v>
      </x:c>
      <x:c r="R11" s="14" t="n">
        <x:v>8</x:v>
      </x:c>
      <x:c r="S11" s="14" t="n">
        <x:v>35</x:v>
      </x:c>
      <x:c r="T11" s="14" t="n">
        <x:v>3.16</x:v>
      </x:c>
      <x:c r="U11" s="14" t="str">
        <x:v>kgCO2e/L</x:v>
      </x:c>
      <x:c r="V11" s="14" t="str">
        <x:v>5 / SRC-004</x:v>
      </x:c>
      <x:c r="W11" s="14" t="str">
        <x:v>proxy_pending_verification</x:v>
      </x:c>
      <x:c r="X11" s="14" t="n">
        <x:f>IF(OR(L11="",T11=""),"",L11*T11)</x:f>
        <x:v>122.29200000000002</x:v>
      </x:c>
      <x:c r="Y11" s="14" t="n">
        <x:f>IF(X11="","",X11/1000)</x:f>
        <x:v>0.12229200000000001</x:v>
      </x:c>
      <x:c r="Z11" s="14" t="str">
        <x:v>simulated</x:v>
      </x:c>
      <x:c r="AA11" s="14" t="str">
        <x:v>yes</x:v>
      </x:c>
      <x:c r="AB11" s="14" t="str">
        <x:v>EVD-SIM-010</x:v>
      </x:c>
      <x:c r="AC11" s="14" t="str">
        <x:v>INV-SIM-010</x:v>
      </x:c>
      <x:c r="AD11" s="14" t="str">
        <x:v>RUN-SIM-010</x:v>
      </x:c>
      <x:c r="AE11" s="14" t="str">
        <x:v>SYNTHETIC-ROW-010</x:v>
      </x:c>
      <x:c r="AF11" s="14" t="str">
        <x:v>DUP-SIM-010</x:v>
      </x:c>
      <x:c r="AG11" s="14" t="str">
        <x:v>Y</x:v>
      </x:c>
      <x:c r="AH11" s="14" t="str">
        <x:v>proxy_factor_pending</x:v>
      </x:c>
      <x:c r="AI11" s="14" t="str">
        <x:v>合成 simulated 测试记录；排放因子为代理值，待核验；不得用于正式入账。</x:v>
      </x:c>
      <x:c r="AJ11" t="str">
        <x:f>IF(A11="","",IF(OR(COUNT(L11)=0,M11="",COUNT(T11)=0,U11="",C11="",F11="",G11="",J11="",COUNT(N11)=0,COUNT(O11)=0,AB11="",AD11="",AE11=""),"BLOCK_MISSING_REQUIRED",IF(L11&lt;0,"BLOCK_NEGATIVE_ACTIVITY",IF(AND(M11&lt;&gt;"L",M11&lt;&gt;"kWh",M11&lt;&gt;"km",M11&lt;&gt;"t"),"BLOCK_UNSUPPORTED_UNIT",IF(OR(AND(M11="L",U11&lt;&gt;"kgCO2e/L"),AND(M11="kWh",U11&lt;&gt;"kgCO2e/kWh"),AND(M11="km",U11&lt;&gt;"kgCO2e/km"),AND(M11="t",U11&lt;&gt;"kgCO2e/t")),"BLOCK_UNIT_MISMATCH",IF(COUNTIF($A$2:$A$101,A11)&gt;1,"BLOCK_DUPLICATE_LEDGER_ID",IF(AN11&lt;&gt;"PASS_UNIQUE_PHYSICAL_TRIP","BLOCK_POSSIBLE_PHYSICAL_DUPLICATE",IF(AND(Z11="simulated",AA11="yes"),"PASS_SIMULATED_ONLY",IF(AND(Z11="actual",AA11&lt;&gt;"yes",W11="factor_verified",AB11&lt;&gt;"",AD11&lt;&gt;"",AE11&lt;&gt;""),"PASS_FORMAL_PRECHECK","REVIEW_DATA_STATUS")))))))))</x:f>
        <x:v>PASS_SIMULATED_ONLY</x:v>
      </x:c>
      <x:c r="AK11" t="str">
        <x:f>IF(AJ11="","",IF(AJ11="BLOCK_MISSING_REQUIRED","缺少活动量/单位/因子/趟次关键字段/证据标识",IF(AJ11="BLOCK_NEGATIVE_ACTIVITY","活动量为负，禁止进入汇总",IF(AJ11="BLOCK_UNSUPPORTED_UNIT","活动单位不在允许单位白名单中",IF(AJ11="BLOCK_UNIT_MISMATCH","活动单位与因子单位不匹配",IF(AJ11="BLOCK_DUPLICATE_LEDGER_ID","台账行ID重复，需复核",IF(AJ11="BLOCK_POSSIBLE_PHYSICAL_DUPLICATE","疑似同一物理趟次/来源行重复，冻结汇总并复核",IF(AJ11="PASS_SIMULATED_ONLY","结构检查通过，但仅供 simulated 测试",IF(AJ11="PASS_FORMAL_PRECHECK","通过结构预检；仍需人工/负责人审批","数据状态需人工复核")))))))))</x:f>
        <x:v>结构检查通过，但仅供 simulated 测试</x:v>
      </x:c>
      <x:c r="AL11" t="str">
        <x:f>IF(A11="","",IF(OR(Z11="simulated",AA11="yes",W11&lt;&gt;"factor_verified",AJ11&lt;&gt;"PASS_FORMAL_PRECHECK",AB11="",AD11="",AE11=""),"NOT_FORMAL_USE","ELIGIBLE_FOR_REVIEW_NOT_APPROVED"))</x:f>
        <x:v>NOT_FORMAL_USE</x:v>
      </x:c>
      <x:c r="AM11" s="12" t="str">
        <x:f>IF(OR(F11="",G11="",J11="",COUNT(L11)=0,M11="",COUNT(N11)=0,COUNT(O11)=0),"",UPPER(F11&amp;"|"&amp;G11&amp;"|"&amp;J11&amp;"|"&amp;TEXT(N11,"0.000")&amp;"|"&amp;TEXT(O11,"0.000")&amp;"|"&amp;TEXT(L11,"0.000")&amp;"|"&amp;M11))</x:f>
        <x:v>VH-SIM-008|2026-12-02|柴油消耗|115.000|2.100|38.700|L</x:v>
      </x:c>
      <x:c r="AN11" s="12" t="str">
        <x:f>IF(A11="","",IF(OR(COUNTIF($C$2:$C$101,C11)&gt;1,AND(AE11&lt;&gt;"",COUNTIF($AE$2:$AE$101,AE11)&gt;1),AND(AM11&lt;&gt;"",COUNTIF($AM$2:$AM$101,AM11)&gt;1)),"BLOCK_POSSIBLE_PHYSICAL_DUPLICATE","PASS_UNIQUE_PHYSICAL_TRIP"))</x:f>
        <x:v>PASS_UNIQUE_PHYSICAL_TRIP</x:v>
      </x:c>
      <x:c r="AO11" s="12" t="str">
        <x:v>not approved</x:v>
      </x:c>
      <x:c r="AP11" s="12" t="str">
        <x:f>IF(A11="","",IF(AND(Z11="actual",AA11&lt;&gt;"yes",W11="factor_verified",AJ11="PASS_FORMAL_PRECHECK",AN11="PASS_UNIQUE_PHYSICAL_TRIP",AO11="approved",AB11&lt;&gt;"",AD11&lt;&gt;"",AE11&lt;&gt;""),"FORMAL_APPROVED","EXCLUDED_NOT_FORMALLY_APPROVED"))</x:f>
        <x:v>EXCLUDED_NOT_FORMALLY_APPROVED</x:v>
      </x:c>
    </x:row>
    <x:row r="12">
      <x:c r="A12" s="14" t="str">
        <x:v>LR-SIM-0011</x:v>
      </x:c>
      <x:c r="B12" s="14" t="str">
        <x:v>ACT-SIM-0011</x:v>
      </x:c>
      <x:c r="C12" s="14" t="str">
        <x:v>TRIP-SIM-011</x:v>
      </x:c>
      <x:c r="D12" s="14" t="str">
        <x:v>SEG-SIM-011</x:v>
      </x:c>
      <x:c r="E12" s="14" t="str">
        <x:v>WB-SIM-011</x:v>
      </x:c>
      <x:c r="F12" s="14" t="str">
        <x:v>VH-SIM-009</x:v>
      </x:c>
      <x:c r="G12" s="14" t="str">
        <x:v>2026-12-15</x:v>
      </x:c>
      <x:c r="H12" s="14" t="str">
        <x:f>IF(G12="","",LEFT(G12,7))</x:f>
        <x:v>2026-12</x:v>
      </x:c>
      <x:c r="I12" s="14" t="str">
        <x:f>IF(G12="","",LEFT(G12,4))</x:f>
        <x:v>2026</x:v>
      </x:c>
      <x:c r="J12" s="14" t="str">
        <x:v>柴油消耗</x:v>
      </x:c>
      <x:c r="K12" s="14" t="str">
        <x:v>Scope 1候选</x:v>
      </x:c>
      <x:c r="L12" s="14" t="n">
        <x:v>64.25</x:v>
      </x:c>
      <x:c r="M12" s="14" t="str">
        <x:v>L</x:v>
      </x:c>
      <x:c r="N12" s="14" t="n">
        <x:v>220</x:v>
      </x:c>
      <x:c r="O12" s="14" t="n">
        <x:v>2.9</x:v>
      </x:c>
      <x:c r="P12" s="14" t="n">
        <x:v>5.4</x:v>
      </x:c>
      <x:c r="Q12" s="14" t="n">
        <x:v>47</x:v>
      </x:c>
      <x:c r="R12" s="14" t="n">
        <x:v>19</x:v>
      </x:c>
      <x:c r="S12" s="14" t="n">
        <x:v>25</x:v>
      </x:c>
      <x:c r="T12" s="14" t="n">
        <x:v>3.16</x:v>
      </x:c>
      <x:c r="U12" s="14" t="str">
        <x:v>kgCO2e/L</x:v>
      </x:c>
      <x:c r="V12" s="14" t="str">
        <x:v>5 / SRC-004</x:v>
      </x:c>
      <x:c r="W12" s="14" t="str">
        <x:v>proxy_pending_verification</x:v>
      </x:c>
      <x:c r="X12" s="14" t="n">
        <x:f>IF(OR(L12="",T12=""),"",L12*T12)</x:f>
        <x:v>203.03</x:v>
      </x:c>
      <x:c r="Y12" s="14" t="n">
        <x:f>IF(X12="","",X12/1000)</x:f>
        <x:v>0.20303</x:v>
      </x:c>
      <x:c r="Z12" s="14" t="str">
        <x:v>simulated</x:v>
      </x:c>
      <x:c r="AA12" s="14" t="str">
        <x:v>yes</x:v>
      </x:c>
      <x:c r="AB12" s="14" t="str">
        <x:v>EVD-SIM-011</x:v>
      </x:c>
      <x:c r="AC12" s="14" t="str">
        <x:v>INV-SIM-011</x:v>
      </x:c>
      <x:c r="AD12" s="14" t="str">
        <x:v>RUN-SIM-011</x:v>
      </x:c>
      <x:c r="AE12" s="14" t="str">
        <x:v>SYNTHETIC-ROW-011</x:v>
      </x:c>
      <x:c r="AF12" s="14" t="str">
        <x:v>DUP-SIM-011</x:v>
      </x:c>
      <x:c r="AG12" s="14" t="str">
        <x:v>Y</x:v>
      </x:c>
      <x:c r="AH12" s="14" t="str">
        <x:v>proxy_factor_pending</x:v>
      </x:c>
      <x:c r="AI12" s="14" t="str">
        <x:v>合成 simulated 测试记录；排放因子为代理值，待核验；不得用于正式入账。</x:v>
      </x:c>
      <x:c r="AJ12" t="str">
        <x:f>IF(A12="","",IF(OR(COUNT(L12)=0,M12="",COUNT(T12)=0,U12="",C12="",F12="",G12="",J12="",COUNT(N12)=0,COUNT(O12)=0,AB12="",AD12="",AE12=""),"BLOCK_MISSING_REQUIRED",IF(L12&lt;0,"BLOCK_NEGATIVE_ACTIVITY",IF(AND(M12&lt;&gt;"L",M12&lt;&gt;"kWh",M12&lt;&gt;"km",M12&lt;&gt;"t"),"BLOCK_UNSUPPORTED_UNIT",IF(OR(AND(M12="L",U12&lt;&gt;"kgCO2e/L"),AND(M12="kWh",U12&lt;&gt;"kgCO2e/kWh"),AND(M12="km",U12&lt;&gt;"kgCO2e/km"),AND(M12="t",U12&lt;&gt;"kgCO2e/t")),"BLOCK_UNIT_MISMATCH",IF(COUNTIF($A$2:$A$101,A12)&gt;1,"BLOCK_DUPLICATE_LEDGER_ID",IF(AN12&lt;&gt;"PASS_UNIQUE_PHYSICAL_TRIP","BLOCK_POSSIBLE_PHYSICAL_DUPLICATE",IF(AND(Z12="simulated",AA12="yes"),"PASS_SIMULATED_ONLY",IF(AND(Z12="actual",AA12&lt;&gt;"yes",W12="factor_verified",AB12&lt;&gt;"",AD12&lt;&gt;"",AE12&lt;&gt;""),"PASS_FORMAL_PRECHECK","REVIEW_DATA_STATUS")))))))))</x:f>
        <x:v>PASS_SIMULATED_ONLY</x:v>
      </x:c>
      <x:c r="AK12" t="str">
        <x:f>IF(AJ12="","",IF(AJ12="BLOCK_MISSING_REQUIRED","缺少活动量/单位/因子/趟次关键字段/证据标识",IF(AJ12="BLOCK_NEGATIVE_ACTIVITY","活动量为负，禁止进入汇总",IF(AJ12="BLOCK_UNSUPPORTED_UNIT","活动单位不在允许单位白名单中",IF(AJ12="BLOCK_UNIT_MISMATCH","活动单位与因子单位不匹配",IF(AJ12="BLOCK_DUPLICATE_LEDGER_ID","台账行ID重复，需复核",IF(AJ12="BLOCK_POSSIBLE_PHYSICAL_DUPLICATE","疑似同一物理趟次/来源行重复，冻结汇总并复核",IF(AJ12="PASS_SIMULATED_ONLY","结构检查通过，但仅供 simulated 测试",IF(AJ12="PASS_FORMAL_PRECHECK","通过结构预检；仍需人工/负责人审批","数据状态需人工复核")))))))))</x:f>
        <x:v>结构检查通过，但仅供 simulated 测试</x:v>
      </x:c>
      <x:c r="AL12" t="str">
        <x:f>IF(A12="","",IF(OR(Z12="simulated",AA12="yes",W12&lt;&gt;"factor_verified",AJ12&lt;&gt;"PASS_FORMAL_PRECHECK",AB12="",AD12="",AE12=""),"NOT_FORMAL_USE","ELIGIBLE_FOR_REVIEW_NOT_APPROVED"))</x:f>
        <x:v>NOT_FORMAL_USE</x:v>
      </x:c>
      <x:c r="AM12" s="12" t="str">
        <x:f>IF(OR(F12="",G12="",J12="",COUNT(L12)=0,M12="",COUNT(N12)=0,COUNT(O12)=0),"",UPPER(F12&amp;"|"&amp;G12&amp;"|"&amp;J12&amp;"|"&amp;TEXT(N12,"0.000")&amp;"|"&amp;TEXT(O12,"0.000")&amp;"|"&amp;TEXT(L12,"0.000")&amp;"|"&amp;M12))</x:f>
        <x:v>VH-SIM-009|2026-12-15|柴油消耗|220.000|2.900|64.250|L</x:v>
      </x:c>
      <x:c r="AN12" s="12" t="str">
        <x:f>IF(A12="","",IF(OR(COUNTIF($C$2:$C$101,C12)&gt;1,AND(AE12&lt;&gt;"",COUNTIF($AE$2:$AE$101,AE12)&gt;1),AND(AM12&lt;&gt;"",COUNTIF($AM$2:$AM$101,AM12)&gt;1)),"BLOCK_POSSIBLE_PHYSICAL_DUPLICATE","PASS_UNIQUE_PHYSICAL_TRIP"))</x:f>
        <x:v>PASS_UNIQUE_PHYSICAL_TRIP</x:v>
      </x:c>
      <x:c r="AO12" s="12" t="str">
        <x:v>not approved</x:v>
      </x:c>
      <x:c r="AP12" s="12" t="str">
        <x:f>IF(A12="","",IF(AND(Z12="actual",AA12&lt;&gt;"yes",W12="factor_verified",AJ12="PASS_FORMAL_PRECHECK",AN12="PASS_UNIQUE_PHYSICAL_TRIP",AO12="approved",AB12&lt;&gt;"",AD12&lt;&gt;"",AE12&lt;&gt;""),"FORMAL_APPROVED","EXCLUDED_NOT_FORMALLY_APPROVED"))</x:f>
        <x:v>EXCLUDED_NOT_FORMALLY_APPROVED</x:v>
      </x:c>
    </x:row>
    <x:row r="13">
      <x:c r="A13" s="14" t="str">
        <x:v>LR-SIM-0012</x:v>
      </x:c>
      <x:c r="B13" s="14" t="str">
        <x:v>ACT-SIM-0012</x:v>
      </x:c>
      <x:c r="C13" s="14" t="str">
        <x:v>TRIP-SIM-012</x:v>
      </x:c>
      <x:c r="D13" s="14" t="str">
        <x:v>SEG-SIM-012</x:v>
      </x:c>
      <x:c r="E13" s="14" t="str">
        <x:v>WB-SIM-012</x:v>
      </x:c>
      <x:c r="F13" s="14" t="str">
        <x:v>VH-SIM-010</x:v>
      </x:c>
      <x:c r="G13" s="14" t="str">
        <x:v>2026-12-23</x:v>
      </x:c>
      <x:c r="H13" s="14" t="str">
        <x:f>IF(G13="","",LEFT(G13,7))</x:f>
        <x:v>2026-12</x:v>
      </x:c>
      <x:c r="I13" s="14" t="str">
        <x:f>IF(G13="","",LEFT(G13,4))</x:f>
        <x:v>2026</x:v>
      </x:c>
      <x:c r="J13" s="14" t="str">
        <x:v>电力消耗（测试）</x:v>
      </x:c>
      <x:c r="K13" s="14" t="str">
        <x:v>Scope 2候选</x:v>
      </x:c>
      <x:c r="L13" s="14" t="n">
        <x:v>230</x:v>
      </x:c>
      <x:c r="M13" s="14" t="str">
        <x:v>kWh</x:v>
      </x:c>
      <x:c r="N13" s="14" t="n">
        <x:v>140</x:v>
      </x:c>
      <x:c r="O13" s="14" t="n">
        <x:v>0.6</x:v>
      </x:c>
      <x:c r="P13" s="14" t="n">
        <x:v>1.4</x:v>
      </x:c>
      <x:c r="Q13" s="14" t="n">
        <x:v>32</x:v>
      </x:c>
      <x:c r="R13" s="14" t="n">
        <x:v>21</x:v>
      </x:c>
      <x:c r="S13" s="14" t="n">
        <x:v>15</x:v>
      </x:c>
      <x:c r="T13" s="14" t="n">
        <x:v>0.5568</x:v>
      </x:c>
      <x:c r="U13" s="14" t="str">
        <x:v>kgCO2e/kWh</x:v>
      </x:c>
      <x:c r="V13" s="14" t="str">
        <x:v>5 / SRC-004</x:v>
      </x:c>
      <x:c r="W13" s="14" t="str">
        <x:v>proxy_pending_verification</x:v>
      </x:c>
      <x:c r="X13" s="14" t="n">
        <x:f>IF(OR(L13="",T13=""),"",L13*T13)</x:f>
        <x:v>128.064</x:v>
      </x:c>
      <x:c r="Y13" s="14" t="n">
        <x:f>IF(X13="","",X13/1000)</x:f>
        <x:v>0.12806399999999998</x:v>
      </x:c>
      <x:c r="Z13" s="14" t="str">
        <x:v>simulated</x:v>
      </x:c>
      <x:c r="AA13" s="14" t="str">
        <x:v>yes</x:v>
      </x:c>
      <x:c r="AB13" s="14" t="str">
        <x:v>EVD-SIM-012</x:v>
      </x:c>
      <x:c r="AC13" s="14" t="str">
        <x:v>INV-SIM-012</x:v>
      </x:c>
      <x:c r="AD13" s="14" t="str">
        <x:v>RUN-SIM-012</x:v>
      </x:c>
      <x:c r="AE13" s="14" t="str">
        <x:v>SYNTHETIC-ROW-012</x:v>
      </x:c>
      <x:c r="AF13" s="14" t="str">
        <x:v>DUP-SIM-012</x:v>
      </x:c>
      <x:c r="AG13" s="14" t="str">
        <x:v>Y</x:v>
      </x:c>
      <x:c r="AH13" s="14" t="str">
        <x:v>proxy_factor_pending</x:v>
      </x:c>
      <x:c r="AI13" s="14" t="str">
        <x:v>合成 simulated 测试记录；排放因子为代理值，待核验；不得用于正式入账。</x:v>
      </x:c>
      <x:c r="AJ13" t="str">
        <x:f>IF(A13="","",IF(OR(COUNT(L13)=0,M13="",COUNT(T13)=0,U13="",C13="",F13="",G13="",J13="",COUNT(N13)=0,COUNT(O13)=0,AB13="",AD13="",AE13=""),"BLOCK_MISSING_REQUIRED",IF(L13&lt;0,"BLOCK_NEGATIVE_ACTIVITY",IF(AND(M13&lt;&gt;"L",M13&lt;&gt;"kWh",M13&lt;&gt;"km",M13&lt;&gt;"t"),"BLOCK_UNSUPPORTED_UNIT",IF(OR(AND(M13="L",U13&lt;&gt;"kgCO2e/L"),AND(M13="kWh",U13&lt;&gt;"kgCO2e/kWh"),AND(M13="km",U13&lt;&gt;"kgCO2e/km"),AND(M13="t",U13&lt;&gt;"kgCO2e/t")),"BLOCK_UNIT_MISMATCH",IF(COUNTIF($A$2:$A$101,A13)&gt;1,"BLOCK_DUPLICATE_LEDGER_ID",IF(AN13&lt;&gt;"PASS_UNIQUE_PHYSICAL_TRIP","BLOCK_POSSIBLE_PHYSICAL_DUPLICATE",IF(AND(Z13="simulated",AA13="yes"),"PASS_SIMULATED_ONLY",IF(AND(Z13="actual",AA13&lt;&gt;"yes",W13="factor_verified",AB13&lt;&gt;"",AD13&lt;&gt;"",AE13&lt;&gt;""),"PASS_FORMAL_PRECHECK","REVIEW_DATA_STATUS")))))))))</x:f>
        <x:v>PASS_SIMULATED_ONLY</x:v>
      </x:c>
      <x:c r="AK13" t="str">
        <x:f>IF(AJ13="","",IF(AJ13="BLOCK_MISSING_REQUIRED","缺少活动量/单位/因子/趟次关键字段/证据标识",IF(AJ13="BLOCK_NEGATIVE_ACTIVITY","活动量为负，禁止进入汇总",IF(AJ13="BLOCK_UNSUPPORTED_UNIT","活动单位不在允许单位白名单中",IF(AJ13="BLOCK_UNIT_MISMATCH","活动单位与因子单位不匹配",IF(AJ13="BLOCK_DUPLICATE_LEDGER_ID","台账行ID重复，需复核",IF(AJ13="BLOCK_POSSIBLE_PHYSICAL_DUPLICATE","疑似同一物理趟次/来源行重复，冻结汇总并复核",IF(AJ13="PASS_SIMULATED_ONLY","结构检查通过，但仅供 simulated 测试",IF(AJ13="PASS_FORMAL_PRECHECK","通过结构预检；仍需人工/负责人审批","数据状态需人工复核")))))))))</x:f>
        <x:v>结构检查通过，但仅供 simulated 测试</x:v>
      </x:c>
      <x:c r="AL13" t="str">
        <x:f>IF(A13="","",IF(OR(Z13="simulated",AA13="yes",W13&lt;&gt;"factor_verified",AJ13&lt;&gt;"PASS_FORMAL_PRECHECK",AB13="",AD13="",AE13=""),"NOT_FORMAL_USE","ELIGIBLE_FOR_REVIEW_NOT_APPROVED"))</x:f>
        <x:v>NOT_FORMAL_USE</x:v>
      </x:c>
      <x:c r="AM13" s="12" t="str">
        <x:f>IF(OR(F13="",G13="",J13="",COUNT(L13)=0,M13="",COUNT(N13)=0,COUNT(O13)=0),"",UPPER(F13&amp;"|"&amp;G13&amp;"|"&amp;J13&amp;"|"&amp;TEXT(N13,"0.000")&amp;"|"&amp;TEXT(O13,"0.000")&amp;"|"&amp;TEXT(L13,"0.000")&amp;"|"&amp;M13))</x:f>
        <x:v>VH-SIM-010|2026-12-23|电力消耗（测试）|140.000|0.600|230.000|KWH</x:v>
      </x:c>
      <x:c r="AN13" s="12" t="str">
        <x:f>IF(A13="","",IF(OR(COUNTIF($C$2:$C$101,C13)&gt;1,AND(AE13&lt;&gt;"",COUNTIF($AE$2:$AE$101,AE13)&gt;1),AND(AM13&lt;&gt;"",COUNTIF($AM$2:$AM$101,AM13)&gt;1)),"BLOCK_POSSIBLE_PHYSICAL_DUPLICATE","PASS_UNIQUE_PHYSICAL_TRIP"))</x:f>
        <x:v>PASS_UNIQUE_PHYSICAL_TRIP</x:v>
      </x:c>
      <x:c r="AO13" s="12" t="str">
        <x:v>not approved</x:v>
      </x:c>
      <x:c r="AP13" s="12" t="str">
        <x:f>IF(A13="","",IF(AND(Z13="actual",AA13&lt;&gt;"yes",W13="factor_verified",AJ13="PASS_FORMAL_PRECHECK",AN13="PASS_UNIQUE_PHYSICAL_TRIP",AO13="approved",AB13&lt;&gt;"",AD13&lt;&gt;"",AE13&lt;&gt;""),"FORMAL_APPROVED","EXCLUDED_NOT_FORMALLY_APPROVED"))</x:f>
        <x:v>EXCLUDED_NOT_FORMALLY_APPROVED</x:v>
      </x:c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>
        <x:f>IF(G14="","",LEFT(G14,7))</x:f>
      </x:c>
      <x:c r="I14" s="14" t="str">
        <x:f>IF(G14="","",LEFT(G14,4))</x:f>
      </x:c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  <x:c r="T14" s="14" t="str"/>
      <x:c r="U14" s="14" t="str"/>
      <x:c r="V14" s="14" t="str"/>
      <x:c r="W14" s="14" t="str"/>
      <x:c r="X14" s="14" t="str">
        <x:f>IF(OR(L14="",T14=""),"",L14*T14)</x:f>
      </x:c>
      <x:c r="Y14" s="14" t="str">
        <x:f>IF(X14="","",X14/1000)</x:f>
      </x:c>
      <x:c r="Z14" s="14" t="str"/>
      <x:c r="AA14" s="14" t="str"/>
      <x:c r="AB14" s="14" t="str"/>
      <x:c r="AC14" s="14" t="str"/>
      <x:c r="AD14" s="14" t="str"/>
      <x:c r="AE14" s="14" t="str"/>
      <x:c r="AF14" s="14" t="str"/>
      <x:c r="AG14" s="14" t="str"/>
      <x:c r="AH14" s="14" t="str"/>
      <x:c r="AI14" s="14" t="str"/>
      <x:c r="AJ14" t="str">
        <x:f>IF(A14="","",IF(OR(COUNT(L14)=0,M14="",COUNT(T14)=0,U14="",C14="",F14="",G14="",J14="",COUNT(N14)=0,COUNT(O14)=0,AB14="",AD14="",AE14=""),"BLOCK_MISSING_REQUIRED",IF(L14&lt;0,"BLOCK_NEGATIVE_ACTIVITY",IF(AND(M14&lt;&gt;"L",M14&lt;&gt;"kWh",M14&lt;&gt;"km",M14&lt;&gt;"t"),"BLOCK_UNSUPPORTED_UNIT",IF(OR(AND(M14="L",U14&lt;&gt;"kgCO2e/L"),AND(M14="kWh",U14&lt;&gt;"kgCO2e/kWh"),AND(M14="km",U14&lt;&gt;"kgCO2e/km"),AND(M14="t",U14&lt;&gt;"kgCO2e/t")),"BLOCK_UNIT_MISMATCH",IF(COUNTIF($A$2:$A$101,A14)&gt;1,"BLOCK_DUPLICATE_LEDGER_ID",IF(AN14&lt;&gt;"PASS_UNIQUE_PHYSICAL_TRIP","BLOCK_POSSIBLE_PHYSICAL_DUPLICATE",IF(AND(Z14="simulated",AA14="yes"),"PASS_SIMULATED_ONLY",IF(AND(Z14="actual",AA14&lt;&gt;"yes",W14="factor_verified",AB14&lt;&gt;"",AD14&lt;&gt;"",AE14&lt;&gt;""),"PASS_FORMAL_PRECHECK","REVIEW_DATA_STATUS")))))))))</x:f>
      </x:c>
      <x:c r="AK14" t="str">
        <x:f>IF(AJ14="","",IF(AJ14="BLOCK_MISSING_REQUIRED","缺少活动量/单位/因子/趟次关键字段/证据标识",IF(AJ14="BLOCK_NEGATIVE_ACTIVITY","活动量为负，禁止进入汇总",IF(AJ14="BLOCK_UNSUPPORTED_UNIT","活动单位不在允许单位白名单中",IF(AJ14="BLOCK_UNIT_MISMATCH","活动单位与因子单位不匹配",IF(AJ14="BLOCK_DUPLICATE_LEDGER_ID","台账行ID重复，需复核",IF(AJ14="BLOCK_POSSIBLE_PHYSICAL_DUPLICATE","疑似同一物理趟次/来源行重复，冻结汇总并复核",IF(AJ14="PASS_SIMULATED_ONLY","结构检查通过，但仅供 simulated 测试",IF(AJ14="PASS_FORMAL_PRECHECK","通过结构预检；仍需人工/负责人审批","数据状态需人工复核")))))))))</x:f>
      </x:c>
      <x:c r="AL14" t="str">
        <x:f>IF(A14="","",IF(OR(Z14="simulated",AA14="yes",W14&lt;&gt;"factor_verified",AJ14&lt;&gt;"PASS_FORMAL_PRECHECK",AB14="",AD14="",AE14=""),"NOT_FORMAL_USE","ELIGIBLE_FOR_REVIEW_NOT_APPROVED"))</x:f>
      </x:c>
      <x:c r="AM14" s="12" t="str">
        <x:f>IF(OR(F14="",G14="",J14="",COUNT(L14)=0,M14="",COUNT(N14)=0,COUNT(O14)=0),"",UPPER(F14&amp;"|"&amp;G14&amp;"|"&amp;J14&amp;"|"&amp;TEXT(N14,"0.000")&amp;"|"&amp;TEXT(O14,"0.000")&amp;"|"&amp;TEXT(L14,"0.000")&amp;"|"&amp;M14))</x:f>
      </x:c>
      <x:c r="AN14" s="12" t="str">
        <x:f>IF(A14="","",IF(OR(COUNTIF($C$2:$C$101,C14)&gt;1,AND(AE14&lt;&gt;"",COUNTIF($AE$2:$AE$101,AE14)&gt;1),AND(AM14&lt;&gt;"",COUNTIF($AM$2:$AM$101,AM14)&gt;1)),"BLOCK_POSSIBLE_PHYSICAL_DUPLICATE","PASS_UNIQUE_PHYSICAL_TRIP"))</x:f>
      </x:c>
      <x:c r="AO14" s="12"/>
      <x:c r="AP14" s="12" t="str">
        <x:f>IF(A14="","",IF(AND(Z14="actual",AA14&lt;&gt;"yes",W14="factor_verified",AJ14="PASS_FORMAL_PRECHECK",AN14="PASS_UNIQUE_PHYSICAL_TRIP",AO14="approved",AB14&lt;&gt;"",AD14&lt;&gt;"",AE14&lt;&gt;""),"FORMAL_APPROVED","EXCLUDED_NOT_FORMALLY_APPROVED"))</x:f>
      </x:c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>
        <x:f>IF(G15="","",LEFT(G15,7))</x:f>
      </x:c>
      <x:c r="I15" s="14" t="str">
        <x:f>IF(G15="","",LEFT(G15,4))</x:f>
      </x:c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  <x:c r="T15" s="14" t="str"/>
      <x:c r="U15" s="14" t="str"/>
      <x:c r="V15" s="14" t="str"/>
      <x:c r="W15" s="14" t="str"/>
      <x:c r="X15" s="14" t="str">
        <x:f>IF(OR(L15="",T15=""),"",L15*T15)</x:f>
      </x:c>
      <x:c r="Y15" s="14" t="str">
        <x:f>IF(X15="","",X15/1000)</x:f>
      </x:c>
      <x:c r="Z15" s="14" t="str"/>
      <x:c r="AA15" s="14" t="str"/>
      <x:c r="AB15" s="14" t="str"/>
      <x:c r="AC15" s="14" t="str"/>
      <x:c r="AD15" s="14" t="str"/>
      <x:c r="AE15" s="14" t="str"/>
      <x:c r="AF15" s="14" t="str"/>
      <x:c r="AG15" s="14" t="str"/>
      <x:c r="AH15" s="14" t="str"/>
      <x:c r="AI15" s="14" t="str"/>
      <x:c r="AJ15" t="str">
        <x:f>IF(A15="","",IF(OR(COUNT(L15)=0,M15="",COUNT(T15)=0,U15="",C15="",F15="",G15="",J15="",COUNT(N15)=0,COUNT(O15)=0,AB15="",AD15="",AE15=""),"BLOCK_MISSING_REQUIRED",IF(L15&lt;0,"BLOCK_NEGATIVE_ACTIVITY",IF(AND(M15&lt;&gt;"L",M15&lt;&gt;"kWh",M15&lt;&gt;"km",M15&lt;&gt;"t"),"BLOCK_UNSUPPORTED_UNIT",IF(OR(AND(M15="L",U15&lt;&gt;"kgCO2e/L"),AND(M15="kWh",U15&lt;&gt;"kgCO2e/kWh"),AND(M15="km",U15&lt;&gt;"kgCO2e/km"),AND(M15="t",U15&lt;&gt;"kgCO2e/t")),"BLOCK_UNIT_MISMATCH",IF(COUNTIF($A$2:$A$101,A15)&gt;1,"BLOCK_DUPLICATE_LEDGER_ID",IF(AN15&lt;&gt;"PASS_UNIQUE_PHYSICAL_TRIP","BLOCK_POSSIBLE_PHYSICAL_DUPLICATE",IF(AND(Z15="simulated",AA15="yes"),"PASS_SIMULATED_ONLY",IF(AND(Z15="actual",AA15&lt;&gt;"yes",W15="factor_verified",AB15&lt;&gt;"",AD15&lt;&gt;"",AE15&lt;&gt;""),"PASS_FORMAL_PRECHECK","REVIEW_DATA_STATUS")))))))))</x:f>
      </x:c>
      <x:c r="AK15" t="str">
        <x:f>IF(AJ15="","",IF(AJ15="BLOCK_MISSING_REQUIRED","缺少活动量/单位/因子/趟次关键字段/证据标识",IF(AJ15="BLOCK_NEGATIVE_ACTIVITY","活动量为负，禁止进入汇总",IF(AJ15="BLOCK_UNSUPPORTED_UNIT","活动单位不在允许单位白名单中",IF(AJ15="BLOCK_UNIT_MISMATCH","活动单位与因子单位不匹配",IF(AJ15="BLOCK_DUPLICATE_LEDGER_ID","台账行ID重复，需复核",IF(AJ15="BLOCK_POSSIBLE_PHYSICAL_DUPLICATE","疑似同一物理趟次/来源行重复，冻结汇总并复核",IF(AJ15="PASS_SIMULATED_ONLY","结构检查通过，但仅供 simulated 测试",IF(AJ15="PASS_FORMAL_PRECHECK","通过结构预检；仍需人工/负责人审批","数据状态需人工复核")))))))))</x:f>
      </x:c>
      <x:c r="AL15" t="str">
        <x:f>IF(A15="","",IF(OR(Z15="simulated",AA15="yes",W15&lt;&gt;"factor_verified",AJ15&lt;&gt;"PASS_FORMAL_PRECHECK",AB15="",AD15="",AE15=""),"NOT_FORMAL_USE","ELIGIBLE_FOR_REVIEW_NOT_APPROVED"))</x:f>
      </x:c>
      <x:c r="AM15" s="12" t="str">
        <x:f>IF(OR(F15="",G15="",J15="",COUNT(L15)=0,M15="",COUNT(N15)=0,COUNT(O15)=0),"",UPPER(F15&amp;"|"&amp;G15&amp;"|"&amp;J15&amp;"|"&amp;TEXT(N15,"0.000")&amp;"|"&amp;TEXT(O15,"0.000")&amp;"|"&amp;TEXT(L15,"0.000")&amp;"|"&amp;M15))</x:f>
      </x:c>
      <x:c r="AN15" s="12" t="str">
        <x:f>IF(A15="","",IF(OR(COUNTIF($C$2:$C$101,C15)&gt;1,AND(AE15&lt;&gt;"",COUNTIF($AE$2:$AE$101,AE15)&gt;1),AND(AM15&lt;&gt;"",COUNTIF($AM$2:$AM$101,AM15)&gt;1)),"BLOCK_POSSIBLE_PHYSICAL_DUPLICATE","PASS_UNIQUE_PHYSICAL_TRIP"))</x:f>
      </x:c>
      <x:c r="AO15" s="12"/>
      <x:c r="AP15" s="12" t="str">
        <x:f>IF(A15="","",IF(AND(Z15="actual",AA15&lt;&gt;"yes",W15="factor_verified",AJ15="PASS_FORMAL_PRECHECK",AN15="PASS_UNIQUE_PHYSICAL_TRIP",AO15="approved",AB15&lt;&gt;"",AD15&lt;&gt;"",AE15&lt;&gt;""),"FORMAL_APPROVED","EXCLUDED_NOT_FORMALLY_APPROVED"))</x:f>
      </x:c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>
        <x:f>IF(G16="","",LEFT(G16,7))</x:f>
      </x:c>
      <x:c r="I16" s="14" t="str">
        <x:f>IF(G16="","",LEFT(G16,4))</x:f>
      </x:c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  <x:c r="T16" s="14" t="str"/>
      <x:c r="U16" s="14" t="str"/>
      <x:c r="V16" s="14" t="str"/>
      <x:c r="W16" s="14" t="str"/>
      <x:c r="X16" s="14" t="str">
        <x:f>IF(OR(L16="",T16=""),"",L16*T16)</x:f>
      </x:c>
      <x:c r="Y16" s="14" t="str">
        <x:f>IF(X16="","",X16/1000)</x:f>
      </x:c>
      <x:c r="Z16" s="14" t="str"/>
      <x:c r="AA16" s="14" t="str"/>
      <x:c r="AB16" s="14" t="str"/>
      <x:c r="AC16" s="14" t="str"/>
      <x:c r="AD16" s="14" t="str"/>
      <x:c r="AE16" s="14" t="str"/>
      <x:c r="AF16" s="14" t="str"/>
      <x:c r="AG16" s="14" t="str"/>
      <x:c r="AH16" s="14" t="str"/>
      <x:c r="AI16" s="14" t="str"/>
      <x:c r="AJ16" t="str">
        <x:f>IF(A16="","",IF(OR(COUNT(L16)=0,M16="",COUNT(T16)=0,U16="",C16="",F16="",G16="",J16="",COUNT(N16)=0,COUNT(O16)=0,AB16="",AD16="",AE16=""),"BLOCK_MISSING_REQUIRED",IF(L16&lt;0,"BLOCK_NEGATIVE_ACTIVITY",IF(AND(M16&lt;&gt;"L",M16&lt;&gt;"kWh",M16&lt;&gt;"km",M16&lt;&gt;"t"),"BLOCK_UNSUPPORTED_UNIT",IF(OR(AND(M16="L",U16&lt;&gt;"kgCO2e/L"),AND(M16="kWh",U16&lt;&gt;"kgCO2e/kWh"),AND(M16="km",U16&lt;&gt;"kgCO2e/km"),AND(M16="t",U16&lt;&gt;"kgCO2e/t")),"BLOCK_UNIT_MISMATCH",IF(COUNTIF($A$2:$A$101,A16)&gt;1,"BLOCK_DUPLICATE_LEDGER_ID",IF(AN16&lt;&gt;"PASS_UNIQUE_PHYSICAL_TRIP","BLOCK_POSSIBLE_PHYSICAL_DUPLICATE",IF(AND(Z16="simulated",AA16="yes"),"PASS_SIMULATED_ONLY",IF(AND(Z16="actual",AA16&lt;&gt;"yes",W16="factor_verified",AB16&lt;&gt;"",AD16&lt;&gt;"",AE16&lt;&gt;""),"PASS_FORMAL_PRECHECK","REVIEW_DATA_STATUS")))))))))</x:f>
      </x:c>
      <x:c r="AK16" t="str">
        <x:f>IF(AJ16="","",IF(AJ16="BLOCK_MISSING_REQUIRED","缺少活动量/单位/因子/趟次关键字段/证据标识",IF(AJ16="BLOCK_NEGATIVE_ACTIVITY","活动量为负，禁止进入汇总",IF(AJ16="BLOCK_UNSUPPORTED_UNIT","活动单位不在允许单位白名单中",IF(AJ16="BLOCK_UNIT_MISMATCH","活动单位与因子单位不匹配",IF(AJ16="BLOCK_DUPLICATE_LEDGER_ID","台账行ID重复，需复核",IF(AJ16="BLOCK_POSSIBLE_PHYSICAL_DUPLICATE","疑似同一物理趟次/来源行重复，冻结汇总并复核",IF(AJ16="PASS_SIMULATED_ONLY","结构检查通过，但仅供 simulated 测试",IF(AJ16="PASS_FORMAL_PRECHECK","通过结构预检；仍需人工/负责人审批","数据状态需人工复核")))))))))</x:f>
      </x:c>
      <x:c r="AL16" t="str">
        <x:f>IF(A16="","",IF(OR(Z16="simulated",AA16="yes",W16&lt;&gt;"factor_verified",AJ16&lt;&gt;"PASS_FORMAL_PRECHECK",AB16="",AD16="",AE16=""),"NOT_FORMAL_USE","ELIGIBLE_FOR_REVIEW_NOT_APPROVED"))</x:f>
      </x:c>
      <x:c r="AM16" s="12" t="str">
        <x:f>IF(OR(F16="",G16="",J16="",COUNT(L16)=0,M16="",COUNT(N16)=0,COUNT(O16)=0),"",UPPER(F16&amp;"|"&amp;G16&amp;"|"&amp;J16&amp;"|"&amp;TEXT(N16,"0.000")&amp;"|"&amp;TEXT(O16,"0.000")&amp;"|"&amp;TEXT(L16,"0.000")&amp;"|"&amp;M16))</x:f>
      </x:c>
      <x:c r="AN16" s="12" t="str">
        <x:f>IF(A16="","",IF(OR(COUNTIF($C$2:$C$101,C16)&gt;1,AND(AE16&lt;&gt;"",COUNTIF($AE$2:$AE$101,AE16)&gt;1),AND(AM16&lt;&gt;"",COUNTIF($AM$2:$AM$101,AM16)&gt;1)),"BLOCK_POSSIBLE_PHYSICAL_DUPLICATE","PASS_UNIQUE_PHYSICAL_TRIP"))</x:f>
      </x:c>
      <x:c r="AO16" s="12"/>
      <x:c r="AP16" s="12" t="str">
        <x:f>IF(A16="","",IF(AND(Z16="actual",AA16&lt;&gt;"yes",W16="factor_verified",AJ16="PASS_FORMAL_PRECHECK",AN16="PASS_UNIQUE_PHYSICAL_TRIP",AO16="approved",AB16&lt;&gt;"",AD16&lt;&gt;"",AE16&lt;&gt;""),"FORMAL_APPROVED","EXCLUDED_NOT_FORMALLY_APPROVED"))</x:f>
      </x:c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>
        <x:f>IF(G17="","",LEFT(G17,7))</x:f>
      </x:c>
      <x:c r="I17" s="14" t="str">
        <x:f>IF(G17="","",LEFT(G17,4))</x:f>
      </x:c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  <x:c r="T17" s="14" t="str"/>
      <x:c r="U17" s="14" t="str"/>
      <x:c r="V17" s="14" t="str"/>
      <x:c r="W17" s="14" t="str"/>
      <x:c r="X17" s="14" t="str">
        <x:f>IF(OR(L17="",T17=""),"",L17*T17)</x:f>
      </x:c>
      <x:c r="Y17" s="14" t="str">
        <x:f>IF(X17="","",X17/1000)</x:f>
      </x:c>
      <x:c r="Z17" s="14" t="str"/>
      <x:c r="AA17" s="14" t="str"/>
      <x:c r="AB17" s="14" t="str"/>
      <x:c r="AC17" s="14" t="str"/>
      <x:c r="AD17" s="14" t="str"/>
      <x:c r="AE17" s="14" t="str"/>
      <x:c r="AF17" s="14" t="str"/>
      <x:c r="AG17" s="14" t="str"/>
      <x:c r="AH17" s="14" t="str"/>
      <x:c r="AI17" s="14" t="str"/>
      <x:c r="AJ17" t="str">
        <x:f>IF(A17="","",IF(OR(COUNT(L17)=0,M17="",COUNT(T17)=0,U17="",C17="",F17="",G17="",J17="",COUNT(N17)=0,COUNT(O17)=0,AB17="",AD17="",AE17=""),"BLOCK_MISSING_REQUIRED",IF(L17&lt;0,"BLOCK_NEGATIVE_ACTIVITY",IF(AND(M17&lt;&gt;"L",M17&lt;&gt;"kWh",M17&lt;&gt;"km",M17&lt;&gt;"t"),"BLOCK_UNSUPPORTED_UNIT",IF(OR(AND(M17="L",U17&lt;&gt;"kgCO2e/L"),AND(M17="kWh",U17&lt;&gt;"kgCO2e/kWh"),AND(M17="km",U17&lt;&gt;"kgCO2e/km"),AND(M17="t",U17&lt;&gt;"kgCO2e/t")),"BLOCK_UNIT_MISMATCH",IF(COUNTIF($A$2:$A$101,A17)&gt;1,"BLOCK_DUPLICATE_LEDGER_ID",IF(AN17&lt;&gt;"PASS_UNIQUE_PHYSICAL_TRIP","BLOCK_POSSIBLE_PHYSICAL_DUPLICATE",IF(AND(Z17="simulated",AA17="yes"),"PASS_SIMULATED_ONLY",IF(AND(Z17="actual",AA17&lt;&gt;"yes",W17="factor_verified",AB17&lt;&gt;"",AD17&lt;&gt;"",AE17&lt;&gt;""),"PASS_FORMAL_PRECHECK","REVIEW_DATA_STATUS")))))))))</x:f>
      </x:c>
      <x:c r="AK17" t="str">
        <x:f>IF(AJ17="","",IF(AJ17="BLOCK_MISSING_REQUIRED","缺少活动量/单位/因子/趟次关键字段/证据标识",IF(AJ17="BLOCK_NEGATIVE_ACTIVITY","活动量为负，禁止进入汇总",IF(AJ17="BLOCK_UNSUPPORTED_UNIT","活动单位不在允许单位白名单中",IF(AJ17="BLOCK_UNIT_MISMATCH","活动单位与因子单位不匹配",IF(AJ17="BLOCK_DUPLICATE_LEDGER_ID","台账行ID重复，需复核",IF(AJ17="BLOCK_POSSIBLE_PHYSICAL_DUPLICATE","疑似同一物理趟次/来源行重复，冻结汇总并复核",IF(AJ17="PASS_SIMULATED_ONLY","结构检查通过，但仅供 simulated 测试",IF(AJ17="PASS_FORMAL_PRECHECK","通过结构预检；仍需人工/负责人审批","数据状态需人工复核")))))))))</x:f>
      </x:c>
      <x:c r="AL17" t="str">
        <x:f>IF(A17="","",IF(OR(Z17="simulated",AA17="yes",W17&lt;&gt;"factor_verified",AJ17&lt;&gt;"PASS_FORMAL_PRECHECK",AB17="",AD17="",AE17=""),"NOT_FORMAL_USE","ELIGIBLE_FOR_REVIEW_NOT_APPROVED"))</x:f>
      </x:c>
      <x:c r="AM17" s="12" t="str">
        <x:f>IF(OR(F17="",G17="",J17="",COUNT(L17)=0,M17="",COUNT(N17)=0,COUNT(O17)=0),"",UPPER(F17&amp;"|"&amp;G17&amp;"|"&amp;J17&amp;"|"&amp;TEXT(N17,"0.000")&amp;"|"&amp;TEXT(O17,"0.000")&amp;"|"&amp;TEXT(L17,"0.000")&amp;"|"&amp;M17))</x:f>
      </x:c>
      <x:c r="AN17" s="12" t="str">
        <x:f>IF(A17="","",IF(OR(COUNTIF($C$2:$C$101,C17)&gt;1,AND(AE17&lt;&gt;"",COUNTIF($AE$2:$AE$101,AE17)&gt;1),AND(AM17&lt;&gt;"",COUNTIF($AM$2:$AM$101,AM17)&gt;1)),"BLOCK_POSSIBLE_PHYSICAL_DUPLICATE","PASS_UNIQUE_PHYSICAL_TRIP"))</x:f>
      </x:c>
      <x:c r="AO17" s="12"/>
      <x:c r="AP17" s="12" t="str">
        <x:f>IF(A17="","",IF(AND(Z17="actual",AA17&lt;&gt;"yes",W17="factor_verified",AJ17="PASS_FORMAL_PRECHECK",AN17="PASS_UNIQUE_PHYSICAL_TRIP",AO17="approved",AB17&lt;&gt;"",AD17&lt;&gt;"",AE17&lt;&gt;""),"FORMAL_APPROVED","EXCLUDED_NOT_FORMALLY_APPROVED"))</x:f>
      </x:c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>
        <x:f>IF(G18="","",LEFT(G18,7))</x:f>
      </x:c>
      <x:c r="I18" s="14" t="str">
        <x:f>IF(G18="","",LEFT(G18,4))</x:f>
      </x:c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  <x:c r="T18" s="14" t="str"/>
      <x:c r="U18" s="14" t="str"/>
      <x:c r="V18" s="14" t="str"/>
      <x:c r="W18" s="14" t="str"/>
      <x:c r="X18" s="14" t="str">
        <x:f>IF(OR(L18="",T18=""),"",L18*T18)</x:f>
      </x:c>
      <x:c r="Y18" s="14" t="str">
        <x:f>IF(X18="","",X18/1000)</x:f>
      </x:c>
      <x:c r="Z18" s="14" t="str"/>
      <x:c r="AA18" s="14" t="str"/>
      <x:c r="AB18" s="14" t="str"/>
      <x:c r="AC18" s="14" t="str"/>
      <x:c r="AD18" s="14" t="str"/>
      <x:c r="AE18" s="14" t="str"/>
      <x:c r="AF18" s="14" t="str"/>
      <x:c r="AG18" s="14" t="str"/>
      <x:c r="AH18" s="14" t="str"/>
      <x:c r="AI18" s="14" t="str"/>
      <x:c r="AJ18" t="str">
        <x:f>IF(A18="","",IF(OR(COUNT(L18)=0,M18="",COUNT(T18)=0,U18="",C18="",F18="",G18="",J18="",COUNT(N18)=0,COUNT(O18)=0,AB18="",AD18="",AE18=""),"BLOCK_MISSING_REQUIRED",IF(L18&lt;0,"BLOCK_NEGATIVE_ACTIVITY",IF(AND(M18&lt;&gt;"L",M18&lt;&gt;"kWh",M18&lt;&gt;"km",M18&lt;&gt;"t"),"BLOCK_UNSUPPORTED_UNIT",IF(OR(AND(M18="L",U18&lt;&gt;"kgCO2e/L"),AND(M18="kWh",U18&lt;&gt;"kgCO2e/kWh"),AND(M18="km",U18&lt;&gt;"kgCO2e/km"),AND(M18="t",U18&lt;&gt;"kgCO2e/t")),"BLOCK_UNIT_MISMATCH",IF(COUNTIF($A$2:$A$101,A18)&gt;1,"BLOCK_DUPLICATE_LEDGER_ID",IF(AN18&lt;&gt;"PASS_UNIQUE_PHYSICAL_TRIP","BLOCK_POSSIBLE_PHYSICAL_DUPLICATE",IF(AND(Z18="simulated",AA18="yes"),"PASS_SIMULATED_ONLY",IF(AND(Z18="actual",AA18&lt;&gt;"yes",W18="factor_verified",AB18&lt;&gt;"",AD18&lt;&gt;"",AE18&lt;&gt;""),"PASS_FORMAL_PRECHECK","REVIEW_DATA_STATUS")))))))))</x:f>
      </x:c>
      <x:c r="AK18" t="str">
        <x:f>IF(AJ18="","",IF(AJ18="BLOCK_MISSING_REQUIRED","缺少活动量/单位/因子/趟次关键字段/证据标识",IF(AJ18="BLOCK_NEGATIVE_ACTIVITY","活动量为负，禁止进入汇总",IF(AJ18="BLOCK_UNSUPPORTED_UNIT","活动单位不在允许单位白名单中",IF(AJ18="BLOCK_UNIT_MISMATCH","活动单位与因子单位不匹配",IF(AJ18="BLOCK_DUPLICATE_LEDGER_ID","台账行ID重复，需复核",IF(AJ18="BLOCK_POSSIBLE_PHYSICAL_DUPLICATE","疑似同一物理趟次/来源行重复，冻结汇总并复核",IF(AJ18="PASS_SIMULATED_ONLY","结构检查通过，但仅供 simulated 测试",IF(AJ18="PASS_FORMAL_PRECHECK","通过结构预检；仍需人工/负责人审批","数据状态需人工复核")))))))))</x:f>
      </x:c>
      <x:c r="AL18" t="str">
        <x:f>IF(A18="","",IF(OR(Z18="simulated",AA18="yes",W18&lt;&gt;"factor_verified",AJ18&lt;&gt;"PASS_FORMAL_PRECHECK",AB18="",AD18="",AE18=""),"NOT_FORMAL_USE","ELIGIBLE_FOR_REVIEW_NOT_APPROVED"))</x:f>
      </x:c>
      <x:c r="AM18" s="12" t="str">
        <x:f>IF(OR(F18="",G18="",J18="",COUNT(L18)=0,M18="",COUNT(N18)=0,COUNT(O18)=0),"",UPPER(F18&amp;"|"&amp;G18&amp;"|"&amp;J18&amp;"|"&amp;TEXT(N18,"0.000")&amp;"|"&amp;TEXT(O18,"0.000")&amp;"|"&amp;TEXT(L18,"0.000")&amp;"|"&amp;M18))</x:f>
      </x:c>
      <x:c r="AN18" s="12" t="str">
        <x:f>IF(A18="","",IF(OR(COUNTIF($C$2:$C$101,C18)&gt;1,AND(AE18&lt;&gt;"",COUNTIF($AE$2:$AE$101,AE18)&gt;1),AND(AM18&lt;&gt;"",COUNTIF($AM$2:$AM$101,AM18)&gt;1)),"BLOCK_POSSIBLE_PHYSICAL_DUPLICATE","PASS_UNIQUE_PHYSICAL_TRIP"))</x:f>
      </x:c>
      <x:c r="AO18" s="12"/>
      <x:c r="AP18" s="12" t="str">
        <x:f>IF(A18="","",IF(AND(Z18="actual",AA18&lt;&gt;"yes",W18="factor_verified",AJ18="PASS_FORMAL_PRECHECK",AN18="PASS_UNIQUE_PHYSICAL_TRIP",AO18="approved",AB18&lt;&gt;"",AD18&lt;&gt;"",AE18&lt;&gt;""),"FORMAL_APPROVED","EXCLUDED_NOT_FORMALLY_APPROVED"))</x:f>
      </x:c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>
        <x:f>IF(G19="","",LEFT(G19,7))</x:f>
      </x:c>
      <x:c r="I19" s="14" t="str">
        <x:f>IF(G19="","",LEFT(G19,4))</x:f>
      </x:c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  <x:c r="T19" s="14" t="str"/>
      <x:c r="U19" s="14" t="str"/>
      <x:c r="V19" s="14" t="str"/>
      <x:c r="W19" s="14" t="str"/>
      <x:c r="X19" s="14" t="str">
        <x:f>IF(OR(L19="",T19=""),"",L19*T19)</x:f>
      </x:c>
      <x:c r="Y19" s="14" t="str">
        <x:f>IF(X19="","",X19/1000)</x:f>
      </x:c>
      <x:c r="Z19" s="14" t="str"/>
      <x:c r="AA19" s="14" t="str"/>
      <x:c r="AB19" s="14" t="str"/>
      <x:c r="AC19" s="14" t="str"/>
      <x:c r="AD19" s="14" t="str"/>
      <x:c r="AE19" s="14" t="str"/>
      <x:c r="AF19" s="14" t="str"/>
      <x:c r="AG19" s="14" t="str"/>
      <x:c r="AH19" s="14" t="str"/>
      <x:c r="AI19" s="14" t="str"/>
      <x:c r="AJ19" t="str">
        <x:f>IF(A19="","",IF(OR(COUNT(L19)=0,M19="",COUNT(T19)=0,U19="",C19="",F19="",G19="",J19="",COUNT(N19)=0,COUNT(O19)=0,AB19="",AD19="",AE19=""),"BLOCK_MISSING_REQUIRED",IF(L19&lt;0,"BLOCK_NEGATIVE_ACTIVITY",IF(AND(M19&lt;&gt;"L",M19&lt;&gt;"kWh",M19&lt;&gt;"km",M19&lt;&gt;"t"),"BLOCK_UNSUPPORTED_UNIT",IF(OR(AND(M19="L",U19&lt;&gt;"kgCO2e/L"),AND(M19="kWh",U19&lt;&gt;"kgCO2e/kWh"),AND(M19="km",U19&lt;&gt;"kgCO2e/km"),AND(M19="t",U19&lt;&gt;"kgCO2e/t")),"BLOCK_UNIT_MISMATCH",IF(COUNTIF($A$2:$A$101,A19)&gt;1,"BLOCK_DUPLICATE_LEDGER_ID",IF(AN19&lt;&gt;"PASS_UNIQUE_PHYSICAL_TRIP","BLOCK_POSSIBLE_PHYSICAL_DUPLICATE",IF(AND(Z19="simulated",AA19="yes"),"PASS_SIMULATED_ONLY",IF(AND(Z19="actual",AA19&lt;&gt;"yes",W19="factor_verified",AB19&lt;&gt;"",AD19&lt;&gt;"",AE19&lt;&gt;""),"PASS_FORMAL_PRECHECK","REVIEW_DATA_STATUS")))))))))</x:f>
      </x:c>
      <x:c r="AK19" t="str">
        <x:f>IF(AJ19="","",IF(AJ19="BLOCK_MISSING_REQUIRED","缺少活动量/单位/因子/趟次关键字段/证据标识",IF(AJ19="BLOCK_NEGATIVE_ACTIVITY","活动量为负，禁止进入汇总",IF(AJ19="BLOCK_UNSUPPORTED_UNIT","活动单位不在允许单位白名单中",IF(AJ19="BLOCK_UNIT_MISMATCH","活动单位与因子单位不匹配",IF(AJ19="BLOCK_DUPLICATE_LEDGER_ID","台账行ID重复，需复核",IF(AJ19="BLOCK_POSSIBLE_PHYSICAL_DUPLICATE","疑似同一物理趟次/来源行重复，冻结汇总并复核",IF(AJ19="PASS_SIMULATED_ONLY","结构检查通过，但仅供 simulated 测试",IF(AJ19="PASS_FORMAL_PRECHECK","通过结构预检；仍需人工/负责人审批","数据状态需人工复核")))))))))</x:f>
      </x:c>
      <x:c r="AL19" t="str">
        <x:f>IF(A19="","",IF(OR(Z19="simulated",AA19="yes",W19&lt;&gt;"factor_verified",AJ19&lt;&gt;"PASS_FORMAL_PRECHECK",AB19="",AD19="",AE19=""),"NOT_FORMAL_USE","ELIGIBLE_FOR_REVIEW_NOT_APPROVED"))</x:f>
      </x:c>
      <x:c r="AM19" s="12" t="str">
        <x:f>IF(OR(F19="",G19="",J19="",COUNT(L19)=0,M19="",COUNT(N19)=0,COUNT(O19)=0),"",UPPER(F19&amp;"|"&amp;G19&amp;"|"&amp;J19&amp;"|"&amp;TEXT(N19,"0.000")&amp;"|"&amp;TEXT(O19,"0.000")&amp;"|"&amp;TEXT(L19,"0.000")&amp;"|"&amp;M19))</x:f>
      </x:c>
      <x:c r="AN19" s="12" t="str">
        <x:f>IF(A19="","",IF(OR(COUNTIF($C$2:$C$101,C19)&gt;1,AND(AE19&lt;&gt;"",COUNTIF($AE$2:$AE$101,AE19)&gt;1),AND(AM19&lt;&gt;"",COUNTIF($AM$2:$AM$101,AM19)&gt;1)),"BLOCK_POSSIBLE_PHYSICAL_DUPLICATE","PASS_UNIQUE_PHYSICAL_TRIP"))</x:f>
      </x:c>
      <x:c r="AO19" s="12"/>
      <x:c r="AP19" s="12" t="str">
        <x:f>IF(A19="","",IF(AND(Z19="actual",AA19&lt;&gt;"yes",W19="factor_verified",AJ19="PASS_FORMAL_PRECHECK",AN19="PASS_UNIQUE_PHYSICAL_TRIP",AO19="approved",AB19&lt;&gt;"",AD19&lt;&gt;"",AE19&lt;&gt;""),"FORMAL_APPROVED","EXCLUDED_NOT_FORMALLY_APPROVED"))</x:f>
      </x:c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>
        <x:f>IF(G20="","",LEFT(G20,7))</x:f>
      </x:c>
      <x:c r="I20" s="14" t="str">
        <x:f>IF(G20="","",LEFT(G20,4))</x:f>
      </x:c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  <x:c r="T20" s="14" t="str"/>
      <x:c r="U20" s="14" t="str"/>
      <x:c r="V20" s="14" t="str"/>
      <x:c r="W20" s="14" t="str"/>
      <x:c r="X20" s="14" t="str">
        <x:f>IF(OR(L20="",T20=""),"",L20*T20)</x:f>
      </x:c>
      <x:c r="Y20" s="14" t="str">
        <x:f>IF(X20="","",X20/1000)</x:f>
      </x:c>
      <x:c r="Z20" s="14" t="str"/>
      <x:c r="AA20" s="14" t="str"/>
      <x:c r="AB20" s="14" t="str"/>
      <x:c r="AC20" s="14" t="str"/>
      <x:c r="AD20" s="14" t="str"/>
      <x:c r="AE20" s="14" t="str"/>
      <x:c r="AF20" s="14" t="str"/>
      <x:c r="AG20" s="14" t="str"/>
      <x:c r="AH20" s="14" t="str"/>
      <x:c r="AI20" s="14" t="str"/>
      <x:c r="AJ20" t="str">
        <x:f>IF(A20="","",IF(OR(COUNT(L20)=0,M20="",COUNT(T20)=0,U20="",C20="",F20="",G20="",J20="",COUNT(N20)=0,COUNT(O20)=0,AB20="",AD20="",AE20=""),"BLOCK_MISSING_REQUIRED",IF(L20&lt;0,"BLOCK_NEGATIVE_ACTIVITY",IF(AND(M20&lt;&gt;"L",M20&lt;&gt;"kWh",M20&lt;&gt;"km",M20&lt;&gt;"t"),"BLOCK_UNSUPPORTED_UNIT",IF(OR(AND(M20="L",U20&lt;&gt;"kgCO2e/L"),AND(M20="kWh",U20&lt;&gt;"kgCO2e/kWh"),AND(M20="km",U20&lt;&gt;"kgCO2e/km"),AND(M20="t",U20&lt;&gt;"kgCO2e/t")),"BLOCK_UNIT_MISMATCH",IF(COUNTIF($A$2:$A$101,A20)&gt;1,"BLOCK_DUPLICATE_LEDGER_ID",IF(AN20&lt;&gt;"PASS_UNIQUE_PHYSICAL_TRIP","BLOCK_POSSIBLE_PHYSICAL_DUPLICATE",IF(AND(Z20="simulated",AA20="yes"),"PASS_SIMULATED_ONLY",IF(AND(Z20="actual",AA20&lt;&gt;"yes",W20="factor_verified",AB20&lt;&gt;"",AD20&lt;&gt;"",AE20&lt;&gt;""),"PASS_FORMAL_PRECHECK","REVIEW_DATA_STATUS")))))))))</x:f>
      </x:c>
      <x:c r="AK20" t="str">
        <x:f>IF(AJ20="","",IF(AJ20="BLOCK_MISSING_REQUIRED","缺少活动量/单位/因子/趟次关键字段/证据标识",IF(AJ20="BLOCK_NEGATIVE_ACTIVITY","活动量为负，禁止进入汇总",IF(AJ20="BLOCK_UNSUPPORTED_UNIT","活动单位不在允许单位白名单中",IF(AJ20="BLOCK_UNIT_MISMATCH","活动单位与因子单位不匹配",IF(AJ20="BLOCK_DUPLICATE_LEDGER_ID","台账行ID重复，需复核",IF(AJ20="BLOCK_POSSIBLE_PHYSICAL_DUPLICATE","疑似同一物理趟次/来源行重复，冻结汇总并复核",IF(AJ20="PASS_SIMULATED_ONLY","结构检查通过，但仅供 simulated 测试",IF(AJ20="PASS_FORMAL_PRECHECK","通过结构预检；仍需人工/负责人审批","数据状态需人工复核")))))))))</x:f>
      </x:c>
      <x:c r="AL20" t="str">
        <x:f>IF(A20="","",IF(OR(Z20="simulated",AA20="yes",W20&lt;&gt;"factor_verified",AJ20&lt;&gt;"PASS_FORMAL_PRECHECK",AB20="",AD20="",AE20=""),"NOT_FORMAL_USE","ELIGIBLE_FOR_REVIEW_NOT_APPROVED"))</x:f>
      </x:c>
      <x:c r="AM20" s="12" t="str">
        <x:f>IF(OR(F20="",G20="",J20="",COUNT(L20)=0,M20="",COUNT(N20)=0,COUNT(O20)=0),"",UPPER(F20&amp;"|"&amp;G20&amp;"|"&amp;J20&amp;"|"&amp;TEXT(N20,"0.000")&amp;"|"&amp;TEXT(O20,"0.000")&amp;"|"&amp;TEXT(L20,"0.000")&amp;"|"&amp;M20))</x:f>
      </x:c>
      <x:c r="AN20" s="12" t="str">
        <x:f>IF(A20="","",IF(OR(COUNTIF($C$2:$C$101,C20)&gt;1,AND(AE20&lt;&gt;"",COUNTIF($AE$2:$AE$101,AE20)&gt;1),AND(AM20&lt;&gt;"",COUNTIF($AM$2:$AM$101,AM20)&gt;1)),"BLOCK_POSSIBLE_PHYSICAL_DUPLICATE","PASS_UNIQUE_PHYSICAL_TRIP"))</x:f>
      </x:c>
      <x:c r="AO20" s="12"/>
      <x:c r="AP20" s="12" t="str">
        <x:f>IF(A20="","",IF(AND(Z20="actual",AA20&lt;&gt;"yes",W20="factor_verified",AJ20="PASS_FORMAL_PRECHECK",AN20="PASS_UNIQUE_PHYSICAL_TRIP",AO20="approved",AB20&lt;&gt;"",AD20&lt;&gt;"",AE20&lt;&gt;""),"FORMAL_APPROVED","EXCLUDED_NOT_FORMALLY_APPROVED"))</x:f>
      </x:c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>
        <x:f>IF(G21="","",LEFT(G21,7))</x:f>
      </x:c>
      <x:c r="I21" s="14" t="str">
        <x:f>IF(G21="","",LEFT(G21,4))</x:f>
      </x:c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  <x:c r="T21" s="14" t="str"/>
      <x:c r="U21" s="14" t="str"/>
      <x:c r="V21" s="14" t="str"/>
      <x:c r="W21" s="14" t="str"/>
      <x:c r="X21" s="14" t="str">
        <x:f>IF(OR(L21="",T21=""),"",L21*T21)</x:f>
      </x:c>
      <x:c r="Y21" s="14" t="str">
        <x:f>IF(X21="","",X21/1000)</x:f>
      </x:c>
      <x:c r="Z21" s="14" t="str"/>
      <x:c r="AA21" s="14" t="str"/>
      <x:c r="AB21" s="14" t="str"/>
      <x:c r="AC21" s="14" t="str"/>
      <x:c r="AD21" s="14" t="str"/>
      <x:c r="AE21" s="14" t="str"/>
      <x:c r="AF21" s="14" t="str"/>
      <x:c r="AG21" s="14" t="str"/>
      <x:c r="AH21" s="14" t="str"/>
      <x:c r="AI21" s="14" t="str"/>
      <x:c r="AJ21" t="str">
        <x:f>IF(A21="","",IF(OR(COUNT(L21)=0,M21="",COUNT(T21)=0,U21="",C21="",F21="",G21="",J21="",COUNT(N21)=0,COUNT(O21)=0,AB21="",AD21="",AE21=""),"BLOCK_MISSING_REQUIRED",IF(L21&lt;0,"BLOCK_NEGATIVE_ACTIVITY",IF(AND(M21&lt;&gt;"L",M21&lt;&gt;"kWh",M21&lt;&gt;"km",M21&lt;&gt;"t"),"BLOCK_UNSUPPORTED_UNIT",IF(OR(AND(M21="L",U21&lt;&gt;"kgCO2e/L"),AND(M21="kWh",U21&lt;&gt;"kgCO2e/kWh"),AND(M21="km",U21&lt;&gt;"kgCO2e/km"),AND(M21="t",U21&lt;&gt;"kgCO2e/t")),"BLOCK_UNIT_MISMATCH",IF(COUNTIF($A$2:$A$101,A21)&gt;1,"BLOCK_DUPLICATE_LEDGER_ID",IF(AN21&lt;&gt;"PASS_UNIQUE_PHYSICAL_TRIP","BLOCK_POSSIBLE_PHYSICAL_DUPLICATE",IF(AND(Z21="simulated",AA21="yes"),"PASS_SIMULATED_ONLY",IF(AND(Z21="actual",AA21&lt;&gt;"yes",W21="factor_verified",AB21&lt;&gt;"",AD21&lt;&gt;"",AE21&lt;&gt;""),"PASS_FORMAL_PRECHECK","REVIEW_DATA_STATUS")))))))))</x:f>
      </x:c>
      <x:c r="AK21" t="str">
        <x:f>IF(AJ21="","",IF(AJ21="BLOCK_MISSING_REQUIRED","缺少活动量/单位/因子/趟次关键字段/证据标识",IF(AJ21="BLOCK_NEGATIVE_ACTIVITY","活动量为负，禁止进入汇总",IF(AJ21="BLOCK_UNSUPPORTED_UNIT","活动单位不在允许单位白名单中",IF(AJ21="BLOCK_UNIT_MISMATCH","活动单位与因子单位不匹配",IF(AJ21="BLOCK_DUPLICATE_LEDGER_ID","台账行ID重复，需复核",IF(AJ21="BLOCK_POSSIBLE_PHYSICAL_DUPLICATE","疑似同一物理趟次/来源行重复，冻结汇总并复核",IF(AJ21="PASS_SIMULATED_ONLY","结构检查通过，但仅供 simulated 测试",IF(AJ21="PASS_FORMAL_PRECHECK","通过结构预检；仍需人工/负责人审批","数据状态需人工复核")))))))))</x:f>
      </x:c>
      <x:c r="AL21" t="str">
        <x:f>IF(A21="","",IF(OR(Z21="simulated",AA21="yes",W21&lt;&gt;"factor_verified",AJ21&lt;&gt;"PASS_FORMAL_PRECHECK",AB21="",AD21="",AE21=""),"NOT_FORMAL_USE","ELIGIBLE_FOR_REVIEW_NOT_APPROVED"))</x:f>
      </x:c>
      <x:c r="AM21" s="12" t="str">
        <x:f>IF(OR(F21="",G21="",J21="",COUNT(L21)=0,M21="",COUNT(N21)=0,COUNT(O21)=0),"",UPPER(F21&amp;"|"&amp;G21&amp;"|"&amp;J21&amp;"|"&amp;TEXT(N21,"0.000")&amp;"|"&amp;TEXT(O21,"0.000")&amp;"|"&amp;TEXT(L21,"0.000")&amp;"|"&amp;M21))</x:f>
      </x:c>
      <x:c r="AN21" s="12" t="str">
        <x:f>IF(A21="","",IF(OR(COUNTIF($C$2:$C$101,C21)&gt;1,AND(AE21&lt;&gt;"",COUNTIF($AE$2:$AE$101,AE21)&gt;1),AND(AM21&lt;&gt;"",COUNTIF($AM$2:$AM$101,AM21)&gt;1)),"BLOCK_POSSIBLE_PHYSICAL_DUPLICATE","PASS_UNIQUE_PHYSICAL_TRIP"))</x:f>
      </x:c>
      <x:c r="AO21" s="12"/>
      <x:c r="AP21" s="12" t="str">
        <x:f>IF(A21="","",IF(AND(Z21="actual",AA21&lt;&gt;"yes",W21="factor_verified",AJ21="PASS_FORMAL_PRECHECK",AN21="PASS_UNIQUE_PHYSICAL_TRIP",AO21="approved",AB21&lt;&gt;"",AD21&lt;&gt;"",AE21&lt;&gt;""),"FORMAL_APPROVED","EXCLUDED_NOT_FORMALLY_APPROVED"))</x:f>
      </x:c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>
        <x:f>IF(G22="","",LEFT(G22,7))</x:f>
      </x:c>
      <x:c r="I22" s="14" t="str">
        <x:f>IF(G22="","",LEFT(G22,4))</x:f>
      </x:c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  <x:c r="T22" s="14" t="str"/>
      <x:c r="U22" s="14" t="str"/>
      <x:c r="V22" s="14" t="str"/>
      <x:c r="W22" s="14" t="str"/>
      <x:c r="X22" s="14" t="str">
        <x:f>IF(OR(L22="",T22=""),"",L22*T22)</x:f>
      </x:c>
      <x:c r="Y22" s="14" t="str">
        <x:f>IF(X22="","",X22/1000)</x:f>
      </x:c>
      <x:c r="Z22" s="14" t="str"/>
      <x:c r="AA22" s="14" t="str"/>
      <x:c r="AB22" s="14" t="str"/>
      <x:c r="AC22" s="14" t="str"/>
      <x:c r="AD22" s="14" t="str"/>
      <x:c r="AE22" s="14" t="str"/>
      <x:c r="AF22" s="14" t="str"/>
      <x:c r="AG22" s="14" t="str"/>
      <x:c r="AH22" s="14" t="str"/>
      <x:c r="AI22" s="14" t="str"/>
      <x:c r="AJ22" t="str">
        <x:f>IF(A22="","",IF(OR(COUNT(L22)=0,M22="",COUNT(T22)=0,U22="",C22="",F22="",G22="",J22="",COUNT(N22)=0,COUNT(O22)=0,AB22="",AD22="",AE22=""),"BLOCK_MISSING_REQUIRED",IF(L22&lt;0,"BLOCK_NEGATIVE_ACTIVITY",IF(AND(M22&lt;&gt;"L",M22&lt;&gt;"kWh",M22&lt;&gt;"km",M22&lt;&gt;"t"),"BLOCK_UNSUPPORTED_UNIT",IF(OR(AND(M22="L",U22&lt;&gt;"kgCO2e/L"),AND(M22="kWh",U22&lt;&gt;"kgCO2e/kWh"),AND(M22="km",U22&lt;&gt;"kgCO2e/km"),AND(M22="t",U22&lt;&gt;"kgCO2e/t")),"BLOCK_UNIT_MISMATCH",IF(COUNTIF($A$2:$A$101,A22)&gt;1,"BLOCK_DUPLICATE_LEDGER_ID",IF(AN22&lt;&gt;"PASS_UNIQUE_PHYSICAL_TRIP","BLOCK_POSSIBLE_PHYSICAL_DUPLICATE",IF(AND(Z22="simulated",AA22="yes"),"PASS_SIMULATED_ONLY",IF(AND(Z22="actual",AA22&lt;&gt;"yes",W22="factor_verified",AB22&lt;&gt;"",AD22&lt;&gt;"",AE22&lt;&gt;""),"PASS_FORMAL_PRECHECK","REVIEW_DATA_STATUS")))))))))</x:f>
      </x:c>
      <x:c r="AK22" t="str">
        <x:f>IF(AJ22="","",IF(AJ22="BLOCK_MISSING_REQUIRED","缺少活动量/单位/因子/趟次关键字段/证据标识",IF(AJ22="BLOCK_NEGATIVE_ACTIVITY","活动量为负，禁止进入汇总",IF(AJ22="BLOCK_UNSUPPORTED_UNIT","活动单位不在允许单位白名单中",IF(AJ22="BLOCK_UNIT_MISMATCH","活动单位与因子单位不匹配",IF(AJ22="BLOCK_DUPLICATE_LEDGER_ID","台账行ID重复，需复核",IF(AJ22="BLOCK_POSSIBLE_PHYSICAL_DUPLICATE","疑似同一物理趟次/来源行重复，冻结汇总并复核",IF(AJ22="PASS_SIMULATED_ONLY","结构检查通过，但仅供 simulated 测试",IF(AJ22="PASS_FORMAL_PRECHECK","通过结构预检；仍需人工/负责人审批","数据状态需人工复核")))))))))</x:f>
      </x:c>
      <x:c r="AL22" t="str">
        <x:f>IF(A22="","",IF(OR(Z22="simulated",AA22="yes",W22&lt;&gt;"factor_verified",AJ22&lt;&gt;"PASS_FORMAL_PRECHECK",AB22="",AD22="",AE22=""),"NOT_FORMAL_USE","ELIGIBLE_FOR_REVIEW_NOT_APPROVED"))</x:f>
      </x:c>
      <x:c r="AM22" s="12" t="str">
        <x:f>IF(OR(F22="",G22="",J22="",COUNT(L22)=0,M22="",COUNT(N22)=0,COUNT(O22)=0),"",UPPER(F22&amp;"|"&amp;G22&amp;"|"&amp;J22&amp;"|"&amp;TEXT(N22,"0.000")&amp;"|"&amp;TEXT(O22,"0.000")&amp;"|"&amp;TEXT(L22,"0.000")&amp;"|"&amp;M22))</x:f>
      </x:c>
      <x:c r="AN22" s="12" t="str">
        <x:f>IF(A22="","",IF(OR(COUNTIF($C$2:$C$101,C22)&gt;1,AND(AE22&lt;&gt;"",COUNTIF($AE$2:$AE$101,AE22)&gt;1),AND(AM22&lt;&gt;"",COUNTIF($AM$2:$AM$101,AM22)&gt;1)),"BLOCK_POSSIBLE_PHYSICAL_DUPLICATE","PASS_UNIQUE_PHYSICAL_TRIP"))</x:f>
      </x:c>
      <x:c r="AO22" s="12"/>
      <x:c r="AP22" s="12" t="str">
        <x:f>IF(A22="","",IF(AND(Z22="actual",AA22&lt;&gt;"yes",W22="factor_verified",AJ22="PASS_FORMAL_PRECHECK",AN22="PASS_UNIQUE_PHYSICAL_TRIP",AO22="approved",AB22&lt;&gt;"",AD22&lt;&gt;"",AE22&lt;&gt;""),"FORMAL_APPROVED","EXCLUDED_NOT_FORMALLY_APPROVED"))</x:f>
      </x:c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>
        <x:f>IF(G23="","",LEFT(G23,7))</x:f>
      </x:c>
      <x:c r="I23" s="14" t="str">
        <x:f>IF(G23="","",LEFT(G23,4))</x:f>
      </x:c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  <x:c r="T23" s="14" t="str"/>
      <x:c r="U23" s="14" t="str"/>
      <x:c r="V23" s="14" t="str"/>
      <x:c r="W23" s="14" t="str"/>
      <x:c r="X23" s="14" t="str">
        <x:f>IF(OR(L23="",T23=""),"",L23*T23)</x:f>
      </x:c>
      <x:c r="Y23" s="14" t="str">
        <x:f>IF(X23="","",X23/1000)</x:f>
      </x:c>
      <x:c r="Z23" s="14" t="str"/>
      <x:c r="AA23" s="14" t="str"/>
      <x:c r="AB23" s="14" t="str"/>
      <x:c r="AC23" s="14" t="str"/>
      <x:c r="AD23" s="14" t="str"/>
      <x:c r="AE23" s="14" t="str"/>
      <x:c r="AF23" s="14" t="str"/>
      <x:c r="AG23" s="14" t="str"/>
      <x:c r="AH23" s="14" t="str"/>
      <x:c r="AI23" s="14" t="str"/>
      <x:c r="AJ23" t="str">
        <x:f>IF(A23="","",IF(OR(COUNT(L23)=0,M23="",COUNT(T23)=0,U23="",C23="",F23="",G23="",J23="",COUNT(N23)=0,COUNT(O23)=0,AB23="",AD23="",AE23=""),"BLOCK_MISSING_REQUIRED",IF(L23&lt;0,"BLOCK_NEGATIVE_ACTIVITY",IF(AND(M23&lt;&gt;"L",M23&lt;&gt;"kWh",M23&lt;&gt;"km",M23&lt;&gt;"t"),"BLOCK_UNSUPPORTED_UNIT",IF(OR(AND(M23="L",U23&lt;&gt;"kgCO2e/L"),AND(M23="kWh",U23&lt;&gt;"kgCO2e/kWh"),AND(M23="km",U23&lt;&gt;"kgCO2e/km"),AND(M23="t",U23&lt;&gt;"kgCO2e/t")),"BLOCK_UNIT_MISMATCH",IF(COUNTIF($A$2:$A$101,A23)&gt;1,"BLOCK_DUPLICATE_LEDGER_ID",IF(AN23&lt;&gt;"PASS_UNIQUE_PHYSICAL_TRIP","BLOCK_POSSIBLE_PHYSICAL_DUPLICATE",IF(AND(Z23="simulated",AA23="yes"),"PASS_SIMULATED_ONLY",IF(AND(Z23="actual",AA23&lt;&gt;"yes",W23="factor_verified",AB23&lt;&gt;"",AD23&lt;&gt;"",AE23&lt;&gt;""),"PASS_FORMAL_PRECHECK","REVIEW_DATA_STATUS")))))))))</x:f>
      </x:c>
      <x:c r="AK23" t="str">
        <x:f>IF(AJ23="","",IF(AJ23="BLOCK_MISSING_REQUIRED","缺少活动量/单位/因子/趟次关键字段/证据标识",IF(AJ23="BLOCK_NEGATIVE_ACTIVITY","活动量为负，禁止进入汇总",IF(AJ23="BLOCK_UNSUPPORTED_UNIT","活动单位不在允许单位白名单中",IF(AJ23="BLOCK_UNIT_MISMATCH","活动单位与因子单位不匹配",IF(AJ23="BLOCK_DUPLICATE_LEDGER_ID","台账行ID重复，需复核",IF(AJ23="BLOCK_POSSIBLE_PHYSICAL_DUPLICATE","疑似同一物理趟次/来源行重复，冻结汇总并复核",IF(AJ23="PASS_SIMULATED_ONLY","结构检查通过，但仅供 simulated 测试",IF(AJ23="PASS_FORMAL_PRECHECK","通过结构预检；仍需人工/负责人审批","数据状态需人工复核")))))))))</x:f>
      </x:c>
      <x:c r="AL23" t="str">
        <x:f>IF(A23="","",IF(OR(Z23="simulated",AA23="yes",W23&lt;&gt;"factor_verified",AJ23&lt;&gt;"PASS_FORMAL_PRECHECK",AB23="",AD23="",AE23=""),"NOT_FORMAL_USE","ELIGIBLE_FOR_REVIEW_NOT_APPROVED"))</x:f>
      </x:c>
      <x:c r="AM23" s="12" t="str">
        <x:f>IF(OR(F23="",G23="",J23="",COUNT(L23)=0,M23="",COUNT(N23)=0,COUNT(O23)=0),"",UPPER(F23&amp;"|"&amp;G23&amp;"|"&amp;J23&amp;"|"&amp;TEXT(N23,"0.000")&amp;"|"&amp;TEXT(O23,"0.000")&amp;"|"&amp;TEXT(L23,"0.000")&amp;"|"&amp;M23))</x:f>
      </x:c>
      <x:c r="AN23" s="12" t="str">
        <x:f>IF(A23="","",IF(OR(COUNTIF($C$2:$C$101,C23)&gt;1,AND(AE23&lt;&gt;"",COUNTIF($AE$2:$AE$101,AE23)&gt;1),AND(AM23&lt;&gt;"",COUNTIF($AM$2:$AM$101,AM23)&gt;1)),"BLOCK_POSSIBLE_PHYSICAL_DUPLICATE","PASS_UNIQUE_PHYSICAL_TRIP"))</x:f>
      </x:c>
      <x:c r="AO23" s="12"/>
      <x:c r="AP23" s="12" t="str">
        <x:f>IF(A23="","",IF(AND(Z23="actual",AA23&lt;&gt;"yes",W23="factor_verified",AJ23="PASS_FORMAL_PRECHECK",AN23="PASS_UNIQUE_PHYSICAL_TRIP",AO23="approved",AB23&lt;&gt;"",AD23&lt;&gt;"",AE23&lt;&gt;""),"FORMAL_APPROVED","EXCLUDED_NOT_FORMALLY_APPROVED"))</x:f>
      </x:c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>
        <x:f>IF(G24="","",LEFT(G24,7))</x:f>
      </x:c>
      <x:c r="I24" s="14" t="str">
        <x:f>IF(G24="","",LEFT(G24,4))</x:f>
      </x:c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  <x:c r="T24" s="14" t="str"/>
      <x:c r="U24" s="14" t="str"/>
      <x:c r="V24" s="14" t="str"/>
      <x:c r="W24" s="14" t="str"/>
      <x:c r="X24" s="14" t="str">
        <x:f>IF(OR(L24="",T24=""),"",L24*T24)</x:f>
      </x:c>
      <x:c r="Y24" s="14" t="str">
        <x:f>IF(X24="","",X24/1000)</x:f>
      </x:c>
      <x:c r="Z24" s="14" t="str"/>
      <x:c r="AA24" s="14" t="str"/>
      <x:c r="AB24" s="14" t="str"/>
      <x:c r="AC24" s="14" t="str"/>
      <x:c r="AD24" s="14" t="str"/>
      <x:c r="AE24" s="14" t="str"/>
      <x:c r="AF24" s="14" t="str"/>
      <x:c r="AG24" s="14" t="str"/>
      <x:c r="AH24" s="14" t="str"/>
      <x:c r="AI24" s="14" t="str"/>
      <x:c r="AJ24" t="str">
        <x:f>IF(A24="","",IF(OR(COUNT(L24)=0,M24="",COUNT(T24)=0,U24="",C24="",F24="",G24="",J24="",COUNT(N24)=0,COUNT(O24)=0,AB24="",AD24="",AE24=""),"BLOCK_MISSING_REQUIRED",IF(L24&lt;0,"BLOCK_NEGATIVE_ACTIVITY",IF(AND(M24&lt;&gt;"L",M24&lt;&gt;"kWh",M24&lt;&gt;"km",M24&lt;&gt;"t"),"BLOCK_UNSUPPORTED_UNIT",IF(OR(AND(M24="L",U24&lt;&gt;"kgCO2e/L"),AND(M24="kWh",U24&lt;&gt;"kgCO2e/kWh"),AND(M24="km",U24&lt;&gt;"kgCO2e/km"),AND(M24="t",U24&lt;&gt;"kgCO2e/t")),"BLOCK_UNIT_MISMATCH",IF(COUNTIF($A$2:$A$101,A24)&gt;1,"BLOCK_DUPLICATE_LEDGER_ID",IF(AN24&lt;&gt;"PASS_UNIQUE_PHYSICAL_TRIP","BLOCK_POSSIBLE_PHYSICAL_DUPLICATE",IF(AND(Z24="simulated",AA24="yes"),"PASS_SIMULATED_ONLY",IF(AND(Z24="actual",AA24&lt;&gt;"yes",W24="factor_verified",AB24&lt;&gt;"",AD24&lt;&gt;"",AE24&lt;&gt;""),"PASS_FORMAL_PRECHECK","REVIEW_DATA_STATUS")))))))))</x:f>
      </x:c>
      <x:c r="AK24" t="str">
        <x:f>IF(AJ24="","",IF(AJ24="BLOCK_MISSING_REQUIRED","缺少活动量/单位/因子/趟次关键字段/证据标识",IF(AJ24="BLOCK_NEGATIVE_ACTIVITY","活动量为负，禁止进入汇总",IF(AJ24="BLOCK_UNSUPPORTED_UNIT","活动单位不在允许单位白名单中",IF(AJ24="BLOCK_UNIT_MISMATCH","活动单位与因子单位不匹配",IF(AJ24="BLOCK_DUPLICATE_LEDGER_ID","台账行ID重复，需复核",IF(AJ24="BLOCK_POSSIBLE_PHYSICAL_DUPLICATE","疑似同一物理趟次/来源行重复，冻结汇总并复核",IF(AJ24="PASS_SIMULATED_ONLY","结构检查通过，但仅供 simulated 测试",IF(AJ24="PASS_FORMAL_PRECHECK","通过结构预检；仍需人工/负责人审批","数据状态需人工复核")))))))))</x:f>
      </x:c>
      <x:c r="AL24" t="str">
        <x:f>IF(A24="","",IF(OR(Z24="simulated",AA24="yes",W24&lt;&gt;"factor_verified",AJ24&lt;&gt;"PASS_FORMAL_PRECHECK",AB24="",AD24="",AE24=""),"NOT_FORMAL_USE","ELIGIBLE_FOR_REVIEW_NOT_APPROVED"))</x:f>
      </x:c>
      <x:c r="AM24" s="12" t="str">
        <x:f>IF(OR(F24="",G24="",J24="",COUNT(L24)=0,M24="",COUNT(N24)=0,COUNT(O24)=0),"",UPPER(F24&amp;"|"&amp;G24&amp;"|"&amp;J24&amp;"|"&amp;TEXT(N24,"0.000")&amp;"|"&amp;TEXT(O24,"0.000")&amp;"|"&amp;TEXT(L24,"0.000")&amp;"|"&amp;M24))</x:f>
      </x:c>
      <x:c r="AN24" s="12" t="str">
        <x:f>IF(A24="","",IF(OR(COUNTIF($C$2:$C$101,C24)&gt;1,AND(AE24&lt;&gt;"",COUNTIF($AE$2:$AE$101,AE24)&gt;1),AND(AM24&lt;&gt;"",COUNTIF($AM$2:$AM$101,AM24)&gt;1)),"BLOCK_POSSIBLE_PHYSICAL_DUPLICATE","PASS_UNIQUE_PHYSICAL_TRIP"))</x:f>
      </x:c>
      <x:c r="AO24" s="12"/>
      <x:c r="AP24" s="12" t="str">
        <x:f>IF(A24="","",IF(AND(Z24="actual",AA24&lt;&gt;"yes",W24="factor_verified",AJ24="PASS_FORMAL_PRECHECK",AN24="PASS_UNIQUE_PHYSICAL_TRIP",AO24="approved",AB24&lt;&gt;"",AD24&lt;&gt;"",AE24&lt;&gt;""),"FORMAL_APPROVED","EXCLUDED_NOT_FORMALLY_APPROVED"))</x:f>
      </x:c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>
        <x:f>IF(G25="","",LEFT(G25,7))</x:f>
      </x:c>
      <x:c r="I25" s="14" t="str">
        <x:f>IF(G25="","",LEFT(G25,4))</x:f>
      </x:c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  <x:c r="T25" s="14" t="str"/>
      <x:c r="U25" s="14" t="str"/>
      <x:c r="V25" s="14" t="str"/>
      <x:c r="W25" s="14" t="str"/>
      <x:c r="X25" s="14" t="str">
        <x:f>IF(OR(L25="",T25=""),"",L25*T25)</x:f>
      </x:c>
      <x:c r="Y25" s="14" t="str">
        <x:f>IF(X25="","",X25/1000)</x:f>
      </x:c>
      <x:c r="Z25" s="14" t="str"/>
      <x:c r="AA25" s="14" t="str"/>
      <x:c r="AB25" s="14" t="str"/>
      <x:c r="AC25" s="14" t="str"/>
      <x:c r="AD25" s="14" t="str"/>
      <x:c r="AE25" s="14" t="str"/>
      <x:c r="AF25" s="14" t="str"/>
      <x:c r="AG25" s="14" t="str"/>
      <x:c r="AH25" s="14" t="str"/>
      <x:c r="AI25" s="14" t="str"/>
      <x:c r="AJ25" t="str">
        <x:f>IF(A25="","",IF(OR(COUNT(L25)=0,M25="",COUNT(T25)=0,U25="",C25="",F25="",G25="",J25="",COUNT(N25)=0,COUNT(O25)=0,AB25="",AD25="",AE25=""),"BLOCK_MISSING_REQUIRED",IF(L25&lt;0,"BLOCK_NEGATIVE_ACTIVITY",IF(AND(M25&lt;&gt;"L",M25&lt;&gt;"kWh",M25&lt;&gt;"km",M25&lt;&gt;"t"),"BLOCK_UNSUPPORTED_UNIT",IF(OR(AND(M25="L",U25&lt;&gt;"kgCO2e/L"),AND(M25="kWh",U25&lt;&gt;"kgCO2e/kWh"),AND(M25="km",U25&lt;&gt;"kgCO2e/km"),AND(M25="t",U25&lt;&gt;"kgCO2e/t")),"BLOCK_UNIT_MISMATCH",IF(COUNTIF($A$2:$A$101,A25)&gt;1,"BLOCK_DUPLICATE_LEDGER_ID",IF(AN25&lt;&gt;"PASS_UNIQUE_PHYSICAL_TRIP","BLOCK_POSSIBLE_PHYSICAL_DUPLICATE",IF(AND(Z25="simulated",AA25="yes"),"PASS_SIMULATED_ONLY",IF(AND(Z25="actual",AA25&lt;&gt;"yes",W25="factor_verified",AB25&lt;&gt;"",AD25&lt;&gt;"",AE25&lt;&gt;""),"PASS_FORMAL_PRECHECK","REVIEW_DATA_STATUS")))))))))</x:f>
      </x:c>
      <x:c r="AK25" t="str">
        <x:f>IF(AJ25="","",IF(AJ25="BLOCK_MISSING_REQUIRED","缺少活动量/单位/因子/趟次关键字段/证据标识",IF(AJ25="BLOCK_NEGATIVE_ACTIVITY","活动量为负，禁止进入汇总",IF(AJ25="BLOCK_UNSUPPORTED_UNIT","活动单位不在允许单位白名单中",IF(AJ25="BLOCK_UNIT_MISMATCH","活动单位与因子单位不匹配",IF(AJ25="BLOCK_DUPLICATE_LEDGER_ID","台账行ID重复，需复核",IF(AJ25="BLOCK_POSSIBLE_PHYSICAL_DUPLICATE","疑似同一物理趟次/来源行重复，冻结汇总并复核",IF(AJ25="PASS_SIMULATED_ONLY","结构检查通过，但仅供 simulated 测试",IF(AJ25="PASS_FORMAL_PRECHECK","通过结构预检；仍需人工/负责人审批","数据状态需人工复核")))))))))</x:f>
      </x:c>
      <x:c r="AL25" t="str">
        <x:f>IF(A25="","",IF(OR(Z25="simulated",AA25="yes",W25&lt;&gt;"factor_verified",AJ25&lt;&gt;"PASS_FORMAL_PRECHECK",AB25="",AD25="",AE25=""),"NOT_FORMAL_USE","ELIGIBLE_FOR_REVIEW_NOT_APPROVED"))</x:f>
      </x:c>
      <x:c r="AM25" s="12" t="str">
        <x:f>IF(OR(F25="",G25="",J25="",COUNT(L25)=0,M25="",COUNT(N25)=0,COUNT(O25)=0),"",UPPER(F25&amp;"|"&amp;G25&amp;"|"&amp;J25&amp;"|"&amp;TEXT(N25,"0.000")&amp;"|"&amp;TEXT(O25,"0.000")&amp;"|"&amp;TEXT(L25,"0.000")&amp;"|"&amp;M25))</x:f>
      </x:c>
      <x:c r="AN25" s="12" t="str">
        <x:f>IF(A25="","",IF(OR(COUNTIF($C$2:$C$101,C25)&gt;1,AND(AE25&lt;&gt;"",COUNTIF($AE$2:$AE$101,AE25)&gt;1),AND(AM25&lt;&gt;"",COUNTIF($AM$2:$AM$101,AM25)&gt;1)),"BLOCK_POSSIBLE_PHYSICAL_DUPLICATE","PASS_UNIQUE_PHYSICAL_TRIP"))</x:f>
      </x:c>
      <x:c r="AO25" s="12"/>
      <x:c r="AP25" s="12" t="str">
        <x:f>IF(A25="","",IF(AND(Z25="actual",AA25&lt;&gt;"yes",W25="factor_verified",AJ25="PASS_FORMAL_PRECHECK",AN25="PASS_UNIQUE_PHYSICAL_TRIP",AO25="approved",AB25&lt;&gt;"",AD25&lt;&gt;"",AE25&lt;&gt;""),"FORMAL_APPROVED","EXCLUDED_NOT_FORMALLY_APPROVED"))</x:f>
      </x:c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>
        <x:f>IF(G26="","",LEFT(G26,7))</x:f>
      </x:c>
      <x:c r="I26" s="14" t="str">
        <x:f>IF(G26="","",LEFT(G26,4))</x:f>
      </x:c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  <x:c r="T26" s="14" t="str"/>
      <x:c r="U26" s="14" t="str"/>
      <x:c r="V26" s="14" t="str"/>
      <x:c r="W26" s="14" t="str"/>
      <x:c r="X26" s="14" t="str">
        <x:f>IF(OR(L26="",T26=""),"",L26*T26)</x:f>
      </x:c>
      <x:c r="Y26" s="14" t="str">
        <x:f>IF(X26="","",X26/1000)</x:f>
      </x:c>
      <x:c r="Z26" s="14" t="str"/>
      <x:c r="AA26" s="14" t="str"/>
      <x:c r="AB26" s="14" t="str"/>
      <x:c r="AC26" s="14" t="str"/>
      <x:c r="AD26" s="14" t="str"/>
      <x:c r="AE26" s="14" t="str"/>
      <x:c r="AF26" s="14" t="str"/>
      <x:c r="AG26" s="14" t="str"/>
      <x:c r="AH26" s="14" t="str"/>
      <x:c r="AI26" s="14" t="str"/>
      <x:c r="AJ26" t="str">
        <x:f>IF(A26="","",IF(OR(COUNT(L26)=0,M26="",COUNT(T26)=0,U26="",C26="",F26="",G26="",J26="",COUNT(N26)=0,COUNT(O26)=0,AB26="",AD26="",AE26=""),"BLOCK_MISSING_REQUIRED",IF(L26&lt;0,"BLOCK_NEGATIVE_ACTIVITY",IF(AND(M26&lt;&gt;"L",M26&lt;&gt;"kWh",M26&lt;&gt;"km",M26&lt;&gt;"t"),"BLOCK_UNSUPPORTED_UNIT",IF(OR(AND(M26="L",U26&lt;&gt;"kgCO2e/L"),AND(M26="kWh",U26&lt;&gt;"kgCO2e/kWh"),AND(M26="km",U26&lt;&gt;"kgCO2e/km"),AND(M26="t",U26&lt;&gt;"kgCO2e/t")),"BLOCK_UNIT_MISMATCH",IF(COUNTIF($A$2:$A$101,A26)&gt;1,"BLOCK_DUPLICATE_LEDGER_ID",IF(AN26&lt;&gt;"PASS_UNIQUE_PHYSICAL_TRIP","BLOCK_POSSIBLE_PHYSICAL_DUPLICATE",IF(AND(Z26="simulated",AA26="yes"),"PASS_SIMULATED_ONLY",IF(AND(Z26="actual",AA26&lt;&gt;"yes",W26="factor_verified",AB26&lt;&gt;"",AD26&lt;&gt;"",AE26&lt;&gt;""),"PASS_FORMAL_PRECHECK","REVIEW_DATA_STATUS")))))))))</x:f>
      </x:c>
      <x:c r="AK26" t="str">
        <x:f>IF(AJ26="","",IF(AJ26="BLOCK_MISSING_REQUIRED","缺少活动量/单位/因子/趟次关键字段/证据标识",IF(AJ26="BLOCK_NEGATIVE_ACTIVITY","活动量为负，禁止进入汇总",IF(AJ26="BLOCK_UNSUPPORTED_UNIT","活动单位不在允许单位白名单中",IF(AJ26="BLOCK_UNIT_MISMATCH","活动单位与因子单位不匹配",IF(AJ26="BLOCK_DUPLICATE_LEDGER_ID","台账行ID重复，需复核",IF(AJ26="BLOCK_POSSIBLE_PHYSICAL_DUPLICATE","疑似同一物理趟次/来源行重复，冻结汇总并复核",IF(AJ26="PASS_SIMULATED_ONLY","结构检查通过，但仅供 simulated 测试",IF(AJ26="PASS_FORMAL_PRECHECK","通过结构预检；仍需人工/负责人审批","数据状态需人工复核")))))))))</x:f>
      </x:c>
      <x:c r="AL26" t="str">
        <x:f>IF(A26="","",IF(OR(Z26="simulated",AA26="yes",W26&lt;&gt;"factor_verified",AJ26&lt;&gt;"PASS_FORMAL_PRECHECK",AB26="",AD26="",AE26=""),"NOT_FORMAL_USE","ELIGIBLE_FOR_REVIEW_NOT_APPROVED"))</x:f>
      </x:c>
      <x:c r="AM26" s="12" t="str">
        <x:f>IF(OR(F26="",G26="",J26="",COUNT(L26)=0,M26="",COUNT(N26)=0,COUNT(O26)=0),"",UPPER(F26&amp;"|"&amp;G26&amp;"|"&amp;J26&amp;"|"&amp;TEXT(N26,"0.000")&amp;"|"&amp;TEXT(O26,"0.000")&amp;"|"&amp;TEXT(L26,"0.000")&amp;"|"&amp;M26))</x:f>
      </x:c>
      <x:c r="AN26" s="12" t="str">
        <x:f>IF(A26="","",IF(OR(COUNTIF($C$2:$C$101,C26)&gt;1,AND(AE26&lt;&gt;"",COUNTIF($AE$2:$AE$101,AE26)&gt;1),AND(AM26&lt;&gt;"",COUNTIF($AM$2:$AM$101,AM26)&gt;1)),"BLOCK_POSSIBLE_PHYSICAL_DUPLICATE","PASS_UNIQUE_PHYSICAL_TRIP"))</x:f>
      </x:c>
      <x:c r="AO26" s="12"/>
      <x:c r="AP26" s="12" t="str">
        <x:f>IF(A26="","",IF(AND(Z26="actual",AA26&lt;&gt;"yes",W26="factor_verified",AJ26="PASS_FORMAL_PRECHECK",AN26="PASS_UNIQUE_PHYSICAL_TRIP",AO26="approved",AB26&lt;&gt;"",AD26&lt;&gt;"",AE26&lt;&gt;""),"FORMAL_APPROVED","EXCLUDED_NOT_FORMALLY_APPROVED"))</x:f>
      </x:c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>
        <x:f>IF(G27="","",LEFT(G27,7))</x:f>
      </x:c>
      <x:c r="I27" s="14" t="str">
        <x:f>IF(G27="","",LEFT(G27,4))</x:f>
      </x:c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  <x:c r="T27" s="14" t="str"/>
      <x:c r="U27" s="14" t="str"/>
      <x:c r="V27" s="14" t="str"/>
      <x:c r="W27" s="14" t="str"/>
      <x:c r="X27" s="14" t="str">
        <x:f>IF(OR(L27="",T27=""),"",L27*T27)</x:f>
      </x:c>
      <x:c r="Y27" s="14" t="str">
        <x:f>IF(X27="","",X27/1000)</x:f>
      </x:c>
      <x:c r="Z27" s="14" t="str"/>
      <x:c r="AA27" s="14" t="str"/>
      <x:c r="AB27" s="14" t="str"/>
      <x:c r="AC27" s="14" t="str"/>
      <x:c r="AD27" s="14" t="str"/>
      <x:c r="AE27" s="14" t="str"/>
      <x:c r="AF27" s="14" t="str"/>
      <x:c r="AG27" s="14" t="str"/>
      <x:c r="AH27" s="14" t="str"/>
      <x:c r="AI27" s="14" t="str"/>
      <x:c r="AJ27" t="str">
        <x:f>IF(A27="","",IF(OR(COUNT(L27)=0,M27="",COUNT(T27)=0,U27="",C27="",F27="",G27="",J27="",COUNT(N27)=0,COUNT(O27)=0,AB27="",AD27="",AE27=""),"BLOCK_MISSING_REQUIRED",IF(L27&lt;0,"BLOCK_NEGATIVE_ACTIVITY",IF(AND(M27&lt;&gt;"L",M27&lt;&gt;"kWh",M27&lt;&gt;"km",M27&lt;&gt;"t"),"BLOCK_UNSUPPORTED_UNIT",IF(OR(AND(M27="L",U27&lt;&gt;"kgCO2e/L"),AND(M27="kWh",U27&lt;&gt;"kgCO2e/kWh"),AND(M27="km",U27&lt;&gt;"kgCO2e/km"),AND(M27="t",U27&lt;&gt;"kgCO2e/t")),"BLOCK_UNIT_MISMATCH",IF(COUNTIF($A$2:$A$101,A27)&gt;1,"BLOCK_DUPLICATE_LEDGER_ID",IF(AN27&lt;&gt;"PASS_UNIQUE_PHYSICAL_TRIP","BLOCK_POSSIBLE_PHYSICAL_DUPLICATE",IF(AND(Z27="simulated",AA27="yes"),"PASS_SIMULATED_ONLY",IF(AND(Z27="actual",AA27&lt;&gt;"yes",W27="factor_verified",AB27&lt;&gt;"",AD27&lt;&gt;"",AE27&lt;&gt;""),"PASS_FORMAL_PRECHECK","REVIEW_DATA_STATUS")))))))))</x:f>
      </x:c>
      <x:c r="AK27" t="str">
        <x:f>IF(AJ27="","",IF(AJ27="BLOCK_MISSING_REQUIRED","缺少活动量/单位/因子/趟次关键字段/证据标识",IF(AJ27="BLOCK_NEGATIVE_ACTIVITY","活动量为负，禁止进入汇总",IF(AJ27="BLOCK_UNSUPPORTED_UNIT","活动单位不在允许单位白名单中",IF(AJ27="BLOCK_UNIT_MISMATCH","活动单位与因子单位不匹配",IF(AJ27="BLOCK_DUPLICATE_LEDGER_ID","台账行ID重复，需复核",IF(AJ27="BLOCK_POSSIBLE_PHYSICAL_DUPLICATE","疑似同一物理趟次/来源行重复，冻结汇总并复核",IF(AJ27="PASS_SIMULATED_ONLY","结构检查通过，但仅供 simulated 测试",IF(AJ27="PASS_FORMAL_PRECHECK","通过结构预检；仍需人工/负责人审批","数据状态需人工复核")))))))))</x:f>
      </x:c>
      <x:c r="AL27" t="str">
        <x:f>IF(A27="","",IF(OR(Z27="simulated",AA27="yes",W27&lt;&gt;"factor_verified",AJ27&lt;&gt;"PASS_FORMAL_PRECHECK",AB27="",AD27="",AE27=""),"NOT_FORMAL_USE","ELIGIBLE_FOR_REVIEW_NOT_APPROVED"))</x:f>
      </x:c>
      <x:c r="AM27" s="12" t="str">
        <x:f>IF(OR(F27="",G27="",J27="",COUNT(L27)=0,M27="",COUNT(N27)=0,COUNT(O27)=0),"",UPPER(F27&amp;"|"&amp;G27&amp;"|"&amp;J27&amp;"|"&amp;TEXT(N27,"0.000")&amp;"|"&amp;TEXT(O27,"0.000")&amp;"|"&amp;TEXT(L27,"0.000")&amp;"|"&amp;M27))</x:f>
      </x:c>
      <x:c r="AN27" s="12" t="str">
        <x:f>IF(A27="","",IF(OR(COUNTIF($C$2:$C$101,C27)&gt;1,AND(AE27&lt;&gt;"",COUNTIF($AE$2:$AE$101,AE27)&gt;1),AND(AM27&lt;&gt;"",COUNTIF($AM$2:$AM$101,AM27)&gt;1)),"BLOCK_POSSIBLE_PHYSICAL_DUPLICATE","PASS_UNIQUE_PHYSICAL_TRIP"))</x:f>
      </x:c>
      <x:c r="AO27" s="12"/>
      <x:c r="AP27" s="12" t="str">
        <x:f>IF(A27="","",IF(AND(Z27="actual",AA27&lt;&gt;"yes",W27="factor_verified",AJ27="PASS_FORMAL_PRECHECK",AN27="PASS_UNIQUE_PHYSICAL_TRIP",AO27="approved",AB27&lt;&gt;"",AD27&lt;&gt;"",AE27&lt;&gt;""),"FORMAL_APPROVED","EXCLUDED_NOT_FORMALLY_APPROVED"))</x:f>
      </x:c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>
        <x:f>IF(G28="","",LEFT(G28,7))</x:f>
      </x:c>
      <x:c r="I28" s="14" t="str">
        <x:f>IF(G28="","",LEFT(G28,4))</x:f>
      </x:c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  <x:c r="T28" s="14" t="str"/>
      <x:c r="U28" s="14" t="str"/>
      <x:c r="V28" s="14" t="str"/>
      <x:c r="W28" s="14" t="str"/>
      <x:c r="X28" s="14" t="str">
        <x:f>IF(OR(L28="",T28=""),"",L28*T28)</x:f>
      </x:c>
      <x:c r="Y28" s="14" t="str">
        <x:f>IF(X28="","",X28/1000)</x:f>
      </x:c>
      <x:c r="Z28" s="14" t="str"/>
      <x:c r="AA28" s="14" t="str"/>
      <x:c r="AB28" s="14" t="str"/>
      <x:c r="AC28" s="14" t="str"/>
      <x:c r="AD28" s="14" t="str"/>
      <x:c r="AE28" s="14" t="str"/>
      <x:c r="AF28" s="14" t="str"/>
      <x:c r="AG28" s="14" t="str"/>
      <x:c r="AH28" s="14" t="str"/>
      <x:c r="AI28" s="14" t="str"/>
      <x:c r="AJ28" t="str">
        <x:f>IF(A28="","",IF(OR(COUNT(L28)=0,M28="",COUNT(T28)=0,U28="",C28="",F28="",G28="",J28="",COUNT(N28)=0,COUNT(O28)=0,AB28="",AD28="",AE28=""),"BLOCK_MISSING_REQUIRED",IF(L28&lt;0,"BLOCK_NEGATIVE_ACTIVITY",IF(AND(M28&lt;&gt;"L",M28&lt;&gt;"kWh",M28&lt;&gt;"km",M28&lt;&gt;"t"),"BLOCK_UNSUPPORTED_UNIT",IF(OR(AND(M28="L",U28&lt;&gt;"kgCO2e/L"),AND(M28="kWh",U28&lt;&gt;"kgCO2e/kWh"),AND(M28="km",U28&lt;&gt;"kgCO2e/km"),AND(M28="t",U28&lt;&gt;"kgCO2e/t")),"BLOCK_UNIT_MISMATCH",IF(COUNTIF($A$2:$A$101,A28)&gt;1,"BLOCK_DUPLICATE_LEDGER_ID",IF(AN28&lt;&gt;"PASS_UNIQUE_PHYSICAL_TRIP","BLOCK_POSSIBLE_PHYSICAL_DUPLICATE",IF(AND(Z28="simulated",AA28="yes"),"PASS_SIMULATED_ONLY",IF(AND(Z28="actual",AA28&lt;&gt;"yes",W28="factor_verified",AB28&lt;&gt;"",AD28&lt;&gt;"",AE28&lt;&gt;""),"PASS_FORMAL_PRECHECK","REVIEW_DATA_STATUS")))))))))</x:f>
      </x:c>
      <x:c r="AK28" t="str">
        <x:f>IF(AJ28="","",IF(AJ28="BLOCK_MISSING_REQUIRED","缺少活动量/单位/因子/趟次关键字段/证据标识",IF(AJ28="BLOCK_NEGATIVE_ACTIVITY","活动量为负，禁止进入汇总",IF(AJ28="BLOCK_UNSUPPORTED_UNIT","活动单位不在允许单位白名单中",IF(AJ28="BLOCK_UNIT_MISMATCH","活动单位与因子单位不匹配",IF(AJ28="BLOCK_DUPLICATE_LEDGER_ID","台账行ID重复，需复核",IF(AJ28="BLOCK_POSSIBLE_PHYSICAL_DUPLICATE","疑似同一物理趟次/来源行重复，冻结汇总并复核",IF(AJ28="PASS_SIMULATED_ONLY","结构检查通过，但仅供 simulated 测试",IF(AJ28="PASS_FORMAL_PRECHECK","通过结构预检；仍需人工/负责人审批","数据状态需人工复核")))))))))</x:f>
      </x:c>
      <x:c r="AL28" t="str">
        <x:f>IF(A28="","",IF(OR(Z28="simulated",AA28="yes",W28&lt;&gt;"factor_verified",AJ28&lt;&gt;"PASS_FORMAL_PRECHECK",AB28="",AD28="",AE28=""),"NOT_FORMAL_USE","ELIGIBLE_FOR_REVIEW_NOT_APPROVED"))</x:f>
      </x:c>
      <x:c r="AM28" s="12" t="str">
        <x:f>IF(OR(F28="",G28="",J28="",COUNT(L28)=0,M28="",COUNT(N28)=0,COUNT(O28)=0),"",UPPER(F28&amp;"|"&amp;G28&amp;"|"&amp;J28&amp;"|"&amp;TEXT(N28,"0.000")&amp;"|"&amp;TEXT(O28,"0.000")&amp;"|"&amp;TEXT(L28,"0.000")&amp;"|"&amp;M28))</x:f>
      </x:c>
      <x:c r="AN28" s="12" t="str">
        <x:f>IF(A28="","",IF(OR(COUNTIF($C$2:$C$101,C28)&gt;1,AND(AE28&lt;&gt;"",COUNTIF($AE$2:$AE$101,AE28)&gt;1),AND(AM28&lt;&gt;"",COUNTIF($AM$2:$AM$101,AM28)&gt;1)),"BLOCK_POSSIBLE_PHYSICAL_DUPLICATE","PASS_UNIQUE_PHYSICAL_TRIP"))</x:f>
      </x:c>
      <x:c r="AO28" s="12"/>
      <x:c r="AP28" s="12" t="str">
        <x:f>IF(A28="","",IF(AND(Z28="actual",AA28&lt;&gt;"yes",W28="factor_verified",AJ28="PASS_FORMAL_PRECHECK",AN28="PASS_UNIQUE_PHYSICAL_TRIP",AO28="approved",AB28&lt;&gt;"",AD28&lt;&gt;"",AE28&lt;&gt;""),"FORMAL_APPROVED","EXCLUDED_NOT_FORMALLY_APPROVED"))</x:f>
      </x:c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>
        <x:f>IF(G29="","",LEFT(G29,7))</x:f>
      </x:c>
      <x:c r="I29" s="14" t="str">
        <x:f>IF(G29="","",LEFT(G29,4))</x:f>
      </x:c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  <x:c r="T29" s="14" t="str"/>
      <x:c r="U29" s="14" t="str"/>
      <x:c r="V29" s="14" t="str"/>
      <x:c r="W29" s="14" t="str"/>
      <x:c r="X29" s="14" t="str">
        <x:f>IF(OR(L29="",T29=""),"",L29*T29)</x:f>
      </x:c>
      <x:c r="Y29" s="14" t="str">
        <x:f>IF(X29="","",X29/1000)</x:f>
      </x:c>
      <x:c r="Z29" s="14" t="str"/>
      <x:c r="AA29" s="14" t="str"/>
      <x:c r="AB29" s="14" t="str"/>
      <x:c r="AC29" s="14" t="str"/>
      <x:c r="AD29" s="14" t="str"/>
      <x:c r="AE29" s="14" t="str"/>
      <x:c r="AF29" s="14" t="str"/>
      <x:c r="AG29" s="14" t="str"/>
      <x:c r="AH29" s="14" t="str"/>
      <x:c r="AI29" s="14" t="str"/>
      <x:c r="AJ29" t="str">
        <x:f>IF(A29="","",IF(OR(COUNT(L29)=0,M29="",COUNT(T29)=0,U29="",C29="",F29="",G29="",J29="",COUNT(N29)=0,COUNT(O29)=0,AB29="",AD29="",AE29=""),"BLOCK_MISSING_REQUIRED",IF(L29&lt;0,"BLOCK_NEGATIVE_ACTIVITY",IF(AND(M29&lt;&gt;"L",M29&lt;&gt;"kWh",M29&lt;&gt;"km",M29&lt;&gt;"t"),"BLOCK_UNSUPPORTED_UNIT",IF(OR(AND(M29="L",U29&lt;&gt;"kgCO2e/L"),AND(M29="kWh",U29&lt;&gt;"kgCO2e/kWh"),AND(M29="km",U29&lt;&gt;"kgCO2e/km"),AND(M29="t",U29&lt;&gt;"kgCO2e/t")),"BLOCK_UNIT_MISMATCH",IF(COUNTIF($A$2:$A$101,A29)&gt;1,"BLOCK_DUPLICATE_LEDGER_ID",IF(AN29&lt;&gt;"PASS_UNIQUE_PHYSICAL_TRIP","BLOCK_POSSIBLE_PHYSICAL_DUPLICATE",IF(AND(Z29="simulated",AA29="yes"),"PASS_SIMULATED_ONLY",IF(AND(Z29="actual",AA29&lt;&gt;"yes",W29="factor_verified",AB29&lt;&gt;"",AD29&lt;&gt;"",AE29&lt;&gt;""),"PASS_FORMAL_PRECHECK","REVIEW_DATA_STATUS")))))))))</x:f>
      </x:c>
      <x:c r="AK29" t="str">
        <x:f>IF(AJ29="","",IF(AJ29="BLOCK_MISSING_REQUIRED","缺少活动量/单位/因子/趟次关键字段/证据标识",IF(AJ29="BLOCK_NEGATIVE_ACTIVITY","活动量为负，禁止进入汇总",IF(AJ29="BLOCK_UNSUPPORTED_UNIT","活动单位不在允许单位白名单中",IF(AJ29="BLOCK_UNIT_MISMATCH","活动单位与因子单位不匹配",IF(AJ29="BLOCK_DUPLICATE_LEDGER_ID","台账行ID重复，需复核",IF(AJ29="BLOCK_POSSIBLE_PHYSICAL_DUPLICATE","疑似同一物理趟次/来源行重复，冻结汇总并复核",IF(AJ29="PASS_SIMULATED_ONLY","结构检查通过，但仅供 simulated 测试",IF(AJ29="PASS_FORMAL_PRECHECK","通过结构预检；仍需人工/负责人审批","数据状态需人工复核")))))))))</x:f>
      </x:c>
      <x:c r="AL29" t="str">
        <x:f>IF(A29="","",IF(OR(Z29="simulated",AA29="yes",W29&lt;&gt;"factor_verified",AJ29&lt;&gt;"PASS_FORMAL_PRECHECK",AB29="",AD29="",AE29=""),"NOT_FORMAL_USE","ELIGIBLE_FOR_REVIEW_NOT_APPROVED"))</x:f>
      </x:c>
      <x:c r="AM29" s="12" t="str">
        <x:f>IF(OR(F29="",G29="",J29="",COUNT(L29)=0,M29="",COUNT(N29)=0,COUNT(O29)=0),"",UPPER(F29&amp;"|"&amp;G29&amp;"|"&amp;J29&amp;"|"&amp;TEXT(N29,"0.000")&amp;"|"&amp;TEXT(O29,"0.000")&amp;"|"&amp;TEXT(L29,"0.000")&amp;"|"&amp;M29))</x:f>
      </x:c>
      <x:c r="AN29" s="12" t="str">
        <x:f>IF(A29="","",IF(OR(COUNTIF($C$2:$C$101,C29)&gt;1,AND(AE29&lt;&gt;"",COUNTIF($AE$2:$AE$101,AE29)&gt;1),AND(AM29&lt;&gt;"",COUNTIF($AM$2:$AM$101,AM29)&gt;1)),"BLOCK_POSSIBLE_PHYSICAL_DUPLICATE","PASS_UNIQUE_PHYSICAL_TRIP"))</x:f>
      </x:c>
      <x:c r="AO29" s="12"/>
      <x:c r="AP29" s="12" t="str">
        <x:f>IF(A29="","",IF(AND(Z29="actual",AA29&lt;&gt;"yes",W29="factor_verified",AJ29="PASS_FORMAL_PRECHECK",AN29="PASS_UNIQUE_PHYSICAL_TRIP",AO29="approved",AB29&lt;&gt;"",AD29&lt;&gt;"",AE29&lt;&gt;""),"FORMAL_APPROVED","EXCLUDED_NOT_FORMALLY_APPROVED"))</x:f>
      </x:c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>
        <x:f>IF(G30="","",LEFT(G30,7))</x:f>
      </x:c>
      <x:c r="I30" s="14" t="str">
        <x:f>IF(G30="","",LEFT(G30,4))</x:f>
      </x:c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  <x:c r="T30" s="14" t="str"/>
      <x:c r="U30" s="14" t="str"/>
      <x:c r="V30" s="14" t="str"/>
      <x:c r="W30" s="14" t="str"/>
      <x:c r="X30" s="14" t="str">
        <x:f>IF(OR(L30="",T30=""),"",L30*T30)</x:f>
      </x:c>
      <x:c r="Y30" s="14" t="str">
        <x:f>IF(X30="","",X30/1000)</x:f>
      </x:c>
      <x:c r="Z30" s="14" t="str"/>
      <x:c r="AA30" s="14" t="str"/>
      <x:c r="AB30" s="14" t="str"/>
      <x:c r="AC30" s="14" t="str"/>
      <x:c r="AD30" s="14" t="str"/>
      <x:c r="AE30" s="14" t="str"/>
      <x:c r="AF30" s="14" t="str"/>
      <x:c r="AG30" s="14" t="str"/>
      <x:c r="AH30" s="14" t="str"/>
      <x:c r="AI30" s="14" t="str"/>
      <x:c r="AJ30" t="str">
        <x:f>IF(A30="","",IF(OR(COUNT(L30)=0,M30="",COUNT(T30)=0,U30="",C30="",F30="",G30="",J30="",COUNT(N30)=0,COUNT(O30)=0,AB30="",AD30="",AE30=""),"BLOCK_MISSING_REQUIRED",IF(L30&lt;0,"BLOCK_NEGATIVE_ACTIVITY",IF(AND(M30&lt;&gt;"L",M30&lt;&gt;"kWh",M30&lt;&gt;"km",M30&lt;&gt;"t"),"BLOCK_UNSUPPORTED_UNIT",IF(OR(AND(M30="L",U30&lt;&gt;"kgCO2e/L"),AND(M30="kWh",U30&lt;&gt;"kgCO2e/kWh"),AND(M30="km",U30&lt;&gt;"kgCO2e/km"),AND(M30="t",U30&lt;&gt;"kgCO2e/t")),"BLOCK_UNIT_MISMATCH",IF(COUNTIF($A$2:$A$101,A30)&gt;1,"BLOCK_DUPLICATE_LEDGER_ID",IF(AN30&lt;&gt;"PASS_UNIQUE_PHYSICAL_TRIP","BLOCK_POSSIBLE_PHYSICAL_DUPLICATE",IF(AND(Z30="simulated",AA30="yes"),"PASS_SIMULATED_ONLY",IF(AND(Z30="actual",AA30&lt;&gt;"yes",W30="factor_verified",AB30&lt;&gt;"",AD30&lt;&gt;"",AE30&lt;&gt;""),"PASS_FORMAL_PRECHECK","REVIEW_DATA_STATUS")))))))))</x:f>
      </x:c>
      <x:c r="AK30" t="str">
        <x:f>IF(AJ30="","",IF(AJ30="BLOCK_MISSING_REQUIRED","缺少活动量/单位/因子/趟次关键字段/证据标识",IF(AJ30="BLOCK_NEGATIVE_ACTIVITY","活动量为负，禁止进入汇总",IF(AJ30="BLOCK_UNSUPPORTED_UNIT","活动单位不在允许单位白名单中",IF(AJ30="BLOCK_UNIT_MISMATCH","活动单位与因子单位不匹配",IF(AJ30="BLOCK_DUPLICATE_LEDGER_ID","台账行ID重复，需复核",IF(AJ30="BLOCK_POSSIBLE_PHYSICAL_DUPLICATE","疑似同一物理趟次/来源行重复，冻结汇总并复核",IF(AJ30="PASS_SIMULATED_ONLY","结构检查通过，但仅供 simulated 测试",IF(AJ30="PASS_FORMAL_PRECHECK","通过结构预检；仍需人工/负责人审批","数据状态需人工复核")))))))))</x:f>
      </x:c>
      <x:c r="AL30" t="str">
        <x:f>IF(A30="","",IF(OR(Z30="simulated",AA30="yes",W30&lt;&gt;"factor_verified",AJ30&lt;&gt;"PASS_FORMAL_PRECHECK",AB30="",AD30="",AE30=""),"NOT_FORMAL_USE","ELIGIBLE_FOR_REVIEW_NOT_APPROVED"))</x:f>
      </x:c>
      <x:c r="AM30" s="12" t="str">
        <x:f>IF(OR(F30="",G30="",J30="",COUNT(L30)=0,M30="",COUNT(N30)=0,COUNT(O30)=0),"",UPPER(F30&amp;"|"&amp;G30&amp;"|"&amp;J30&amp;"|"&amp;TEXT(N30,"0.000")&amp;"|"&amp;TEXT(O30,"0.000")&amp;"|"&amp;TEXT(L30,"0.000")&amp;"|"&amp;M30))</x:f>
      </x:c>
      <x:c r="AN30" s="12" t="str">
        <x:f>IF(A30="","",IF(OR(COUNTIF($C$2:$C$101,C30)&gt;1,AND(AE30&lt;&gt;"",COUNTIF($AE$2:$AE$101,AE30)&gt;1),AND(AM30&lt;&gt;"",COUNTIF($AM$2:$AM$101,AM30)&gt;1)),"BLOCK_POSSIBLE_PHYSICAL_DUPLICATE","PASS_UNIQUE_PHYSICAL_TRIP"))</x:f>
      </x:c>
      <x:c r="AO30" s="12"/>
      <x:c r="AP30" s="12" t="str">
        <x:f>IF(A30="","",IF(AND(Z30="actual",AA30&lt;&gt;"yes",W30="factor_verified",AJ30="PASS_FORMAL_PRECHECK",AN30="PASS_UNIQUE_PHYSICAL_TRIP",AO30="approved",AB30&lt;&gt;"",AD30&lt;&gt;"",AE30&lt;&gt;""),"FORMAL_APPROVED","EXCLUDED_NOT_FORMALLY_APPROVED"))</x:f>
      </x:c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>
        <x:f>IF(G31="","",LEFT(G31,7))</x:f>
      </x:c>
      <x:c r="I31" s="14" t="str">
        <x:f>IF(G31="","",LEFT(G31,4))</x:f>
      </x:c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  <x:c r="T31" s="14" t="str"/>
      <x:c r="U31" s="14" t="str"/>
      <x:c r="V31" s="14" t="str"/>
      <x:c r="W31" s="14" t="str"/>
      <x:c r="X31" s="14" t="str">
        <x:f>IF(OR(L31="",T31=""),"",L31*T31)</x:f>
      </x:c>
      <x:c r="Y31" s="14" t="str">
        <x:f>IF(X31="","",X31/1000)</x:f>
      </x:c>
      <x:c r="Z31" s="14" t="str"/>
      <x:c r="AA31" s="14" t="str"/>
      <x:c r="AB31" s="14" t="str"/>
      <x:c r="AC31" s="14" t="str"/>
      <x:c r="AD31" s="14" t="str"/>
      <x:c r="AE31" s="14" t="str"/>
      <x:c r="AF31" s="14" t="str"/>
      <x:c r="AG31" s="14" t="str"/>
      <x:c r="AH31" s="14" t="str"/>
      <x:c r="AI31" s="14" t="str"/>
      <x:c r="AJ31" t="str">
        <x:f>IF(A31="","",IF(OR(COUNT(L31)=0,M31="",COUNT(T31)=0,U31="",C31="",F31="",G31="",J31="",COUNT(N31)=0,COUNT(O31)=0,AB31="",AD31="",AE31=""),"BLOCK_MISSING_REQUIRED",IF(L31&lt;0,"BLOCK_NEGATIVE_ACTIVITY",IF(AND(M31&lt;&gt;"L",M31&lt;&gt;"kWh",M31&lt;&gt;"km",M31&lt;&gt;"t"),"BLOCK_UNSUPPORTED_UNIT",IF(OR(AND(M31="L",U31&lt;&gt;"kgCO2e/L"),AND(M31="kWh",U31&lt;&gt;"kgCO2e/kWh"),AND(M31="km",U31&lt;&gt;"kgCO2e/km"),AND(M31="t",U31&lt;&gt;"kgCO2e/t")),"BLOCK_UNIT_MISMATCH",IF(COUNTIF($A$2:$A$101,A31)&gt;1,"BLOCK_DUPLICATE_LEDGER_ID",IF(AN31&lt;&gt;"PASS_UNIQUE_PHYSICAL_TRIP","BLOCK_POSSIBLE_PHYSICAL_DUPLICATE",IF(AND(Z31="simulated",AA31="yes"),"PASS_SIMULATED_ONLY",IF(AND(Z31="actual",AA31&lt;&gt;"yes",W31="factor_verified",AB31&lt;&gt;"",AD31&lt;&gt;"",AE31&lt;&gt;""),"PASS_FORMAL_PRECHECK","REVIEW_DATA_STATUS")))))))))</x:f>
      </x:c>
      <x:c r="AK31" t="str">
        <x:f>IF(AJ31="","",IF(AJ31="BLOCK_MISSING_REQUIRED","缺少活动量/单位/因子/趟次关键字段/证据标识",IF(AJ31="BLOCK_NEGATIVE_ACTIVITY","活动量为负，禁止进入汇总",IF(AJ31="BLOCK_UNSUPPORTED_UNIT","活动单位不在允许单位白名单中",IF(AJ31="BLOCK_UNIT_MISMATCH","活动单位与因子单位不匹配",IF(AJ31="BLOCK_DUPLICATE_LEDGER_ID","台账行ID重复，需复核",IF(AJ31="BLOCK_POSSIBLE_PHYSICAL_DUPLICATE","疑似同一物理趟次/来源行重复，冻结汇总并复核",IF(AJ31="PASS_SIMULATED_ONLY","结构检查通过，但仅供 simulated 测试",IF(AJ31="PASS_FORMAL_PRECHECK","通过结构预检；仍需人工/负责人审批","数据状态需人工复核")))))))))</x:f>
      </x:c>
      <x:c r="AL31" t="str">
        <x:f>IF(A31="","",IF(OR(Z31="simulated",AA31="yes",W31&lt;&gt;"factor_verified",AJ31&lt;&gt;"PASS_FORMAL_PRECHECK",AB31="",AD31="",AE31=""),"NOT_FORMAL_USE","ELIGIBLE_FOR_REVIEW_NOT_APPROVED"))</x:f>
      </x:c>
      <x:c r="AM31" s="12" t="str">
        <x:f>IF(OR(F31="",G31="",J31="",COUNT(L31)=0,M31="",COUNT(N31)=0,COUNT(O31)=0),"",UPPER(F31&amp;"|"&amp;G31&amp;"|"&amp;J31&amp;"|"&amp;TEXT(N31,"0.000")&amp;"|"&amp;TEXT(O31,"0.000")&amp;"|"&amp;TEXT(L31,"0.000")&amp;"|"&amp;M31))</x:f>
      </x:c>
      <x:c r="AN31" s="12" t="str">
        <x:f>IF(A31="","",IF(OR(COUNTIF($C$2:$C$101,C31)&gt;1,AND(AE31&lt;&gt;"",COUNTIF($AE$2:$AE$101,AE31)&gt;1),AND(AM31&lt;&gt;"",COUNTIF($AM$2:$AM$101,AM31)&gt;1)),"BLOCK_POSSIBLE_PHYSICAL_DUPLICATE","PASS_UNIQUE_PHYSICAL_TRIP"))</x:f>
      </x:c>
      <x:c r="AO31" s="12"/>
      <x:c r="AP31" s="12" t="str">
        <x:f>IF(A31="","",IF(AND(Z31="actual",AA31&lt;&gt;"yes",W31="factor_verified",AJ31="PASS_FORMAL_PRECHECK",AN31="PASS_UNIQUE_PHYSICAL_TRIP",AO31="approved",AB31&lt;&gt;"",AD31&lt;&gt;"",AE31&lt;&gt;""),"FORMAL_APPROVED","EXCLUDED_NOT_FORMALLY_APPROVED"))</x:f>
      </x:c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>
        <x:f>IF(G32="","",LEFT(G32,7))</x:f>
      </x:c>
      <x:c r="I32" s="14" t="str">
        <x:f>IF(G32="","",LEFT(G32,4))</x:f>
      </x:c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  <x:c r="T32" s="14" t="str"/>
      <x:c r="U32" s="14" t="str"/>
      <x:c r="V32" s="14" t="str"/>
      <x:c r="W32" s="14" t="str"/>
      <x:c r="X32" s="14" t="str">
        <x:f>IF(OR(L32="",T32=""),"",L32*T32)</x:f>
      </x:c>
      <x:c r="Y32" s="14" t="str">
        <x:f>IF(X32="","",X32/1000)</x:f>
      </x:c>
      <x:c r="Z32" s="14" t="str"/>
      <x:c r="AA32" s="14" t="str"/>
      <x:c r="AB32" s="14" t="str"/>
      <x:c r="AC32" s="14" t="str"/>
      <x:c r="AD32" s="14" t="str"/>
      <x:c r="AE32" s="14" t="str"/>
      <x:c r="AF32" s="14" t="str"/>
      <x:c r="AG32" s="14" t="str"/>
      <x:c r="AH32" s="14" t="str"/>
      <x:c r="AI32" s="14" t="str"/>
      <x:c r="AJ32" t="str">
        <x:f>IF(A32="","",IF(OR(COUNT(L32)=0,M32="",COUNT(T32)=0,U32="",C32="",F32="",G32="",J32="",COUNT(N32)=0,COUNT(O32)=0,AB32="",AD32="",AE32=""),"BLOCK_MISSING_REQUIRED",IF(L32&lt;0,"BLOCK_NEGATIVE_ACTIVITY",IF(AND(M32&lt;&gt;"L",M32&lt;&gt;"kWh",M32&lt;&gt;"km",M32&lt;&gt;"t"),"BLOCK_UNSUPPORTED_UNIT",IF(OR(AND(M32="L",U32&lt;&gt;"kgCO2e/L"),AND(M32="kWh",U32&lt;&gt;"kgCO2e/kWh"),AND(M32="km",U32&lt;&gt;"kgCO2e/km"),AND(M32="t",U32&lt;&gt;"kgCO2e/t")),"BLOCK_UNIT_MISMATCH",IF(COUNTIF($A$2:$A$101,A32)&gt;1,"BLOCK_DUPLICATE_LEDGER_ID",IF(AN32&lt;&gt;"PASS_UNIQUE_PHYSICAL_TRIP","BLOCK_POSSIBLE_PHYSICAL_DUPLICATE",IF(AND(Z32="simulated",AA32="yes"),"PASS_SIMULATED_ONLY",IF(AND(Z32="actual",AA32&lt;&gt;"yes",W32="factor_verified",AB32&lt;&gt;"",AD32&lt;&gt;"",AE32&lt;&gt;""),"PASS_FORMAL_PRECHECK","REVIEW_DATA_STATUS")))))))))</x:f>
      </x:c>
      <x:c r="AK32" t="str">
        <x:f>IF(AJ32="","",IF(AJ32="BLOCK_MISSING_REQUIRED","缺少活动量/单位/因子/趟次关键字段/证据标识",IF(AJ32="BLOCK_NEGATIVE_ACTIVITY","活动量为负，禁止进入汇总",IF(AJ32="BLOCK_UNSUPPORTED_UNIT","活动单位不在允许单位白名单中",IF(AJ32="BLOCK_UNIT_MISMATCH","活动单位与因子单位不匹配",IF(AJ32="BLOCK_DUPLICATE_LEDGER_ID","台账行ID重复，需复核",IF(AJ32="BLOCK_POSSIBLE_PHYSICAL_DUPLICATE","疑似同一物理趟次/来源行重复，冻结汇总并复核",IF(AJ32="PASS_SIMULATED_ONLY","结构检查通过，但仅供 simulated 测试",IF(AJ32="PASS_FORMAL_PRECHECK","通过结构预检；仍需人工/负责人审批","数据状态需人工复核")))))))))</x:f>
      </x:c>
      <x:c r="AL32" t="str">
        <x:f>IF(A32="","",IF(OR(Z32="simulated",AA32="yes",W32&lt;&gt;"factor_verified",AJ32&lt;&gt;"PASS_FORMAL_PRECHECK",AB32="",AD32="",AE32=""),"NOT_FORMAL_USE","ELIGIBLE_FOR_REVIEW_NOT_APPROVED"))</x:f>
      </x:c>
      <x:c r="AM32" s="12" t="str">
        <x:f>IF(OR(F32="",G32="",J32="",COUNT(L32)=0,M32="",COUNT(N32)=0,COUNT(O32)=0),"",UPPER(F32&amp;"|"&amp;G32&amp;"|"&amp;J32&amp;"|"&amp;TEXT(N32,"0.000")&amp;"|"&amp;TEXT(O32,"0.000")&amp;"|"&amp;TEXT(L32,"0.000")&amp;"|"&amp;M32))</x:f>
      </x:c>
      <x:c r="AN32" s="12" t="str">
        <x:f>IF(A32="","",IF(OR(COUNTIF($C$2:$C$101,C32)&gt;1,AND(AE32&lt;&gt;"",COUNTIF($AE$2:$AE$101,AE32)&gt;1),AND(AM32&lt;&gt;"",COUNTIF($AM$2:$AM$101,AM32)&gt;1)),"BLOCK_POSSIBLE_PHYSICAL_DUPLICATE","PASS_UNIQUE_PHYSICAL_TRIP"))</x:f>
      </x:c>
      <x:c r="AO32" s="12"/>
      <x:c r="AP32" s="12" t="str">
        <x:f>IF(A32="","",IF(AND(Z32="actual",AA32&lt;&gt;"yes",W32="factor_verified",AJ32="PASS_FORMAL_PRECHECK",AN32="PASS_UNIQUE_PHYSICAL_TRIP",AO32="approved",AB32&lt;&gt;"",AD32&lt;&gt;"",AE32&lt;&gt;""),"FORMAL_APPROVED","EXCLUDED_NOT_FORMALLY_APPROVED"))</x:f>
      </x:c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>
        <x:f>IF(G33="","",LEFT(G33,7))</x:f>
      </x:c>
      <x:c r="I33" s="14" t="str">
        <x:f>IF(G33="","",LEFT(G33,4))</x:f>
      </x:c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  <x:c r="T33" s="14" t="str"/>
      <x:c r="U33" s="14" t="str"/>
      <x:c r="V33" s="14" t="str"/>
      <x:c r="W33" s="14" t="str"/>
      <x:c r="X33" s="14" t="str">
        <x:f>IF(OR(L33="",T33=""),"",L33*T33)</x:f>
      </x:c>
      <x:c r="Y33" s="14" t="str">
        <x:f>IF(X33="","",X33/1000)</x:f>
      </x:c>
      <x:c r="Z33" s="14" t="str"/>
      <x:c r="AA33" s="14" t="str"/>
      <x:c r="AB33" s="14" t="str"/>
      <x:c r="AC33" s="14" t="str"/>
      <x:c r="AD33" s="14" t="str"/>
      <x:c r="AE33" s="14" t="str"/>
      <x:c r="AF33" s="14" t="str"/>
      <x:c r="AG33" s="14" t="str"/>
      <x:c r="AH33" s="14" t="str"/>
      <x:c r="AI33" s="14" t="str"/>
      <x:c r="AJ33" t="str">
        <x:f>IF(A33="","",IF(OR(COUNT(L33)=0,M33="",COUNT(T33)=0,U33="",C33="",F33="",G33="",J33="",COUNT(N33)=0,COUNT(O33)=0,AB33="",AD33="",AE33=""),"BLOCK_MISSING_REQUIRED",IF(L33&lt;0,"BLOCK_NEGATIVE_ACTIVITY",IF(AND(M33&lt;&gt;"L",M33&lt;&gt;"kWh",M33&lt;&gt;"km",M33&lt;&gt;"t"),"BLOCK_UNSUPPORTED_UNIT",IF(OR(AND(M33="L",U33&lt;&gt;"kgCO2e/L"),AND(M33="kWh",U33&lt;&gt;"kgCO2e/kWh"),AND(M33="km",U33&lt;&gt;"kgCO2e/km"),AND(M33="t",U33&lt;&gt;"kgCO2e/t")),"BLOCK_UNIT_MISMATCH",IF(COUNTIF($A$2:$A$101,A33)&gt;1,"BLOCK_DUPLICATE_LEDGER_ID",IF(AN33&lt;&gt;"PASS_UNIQUE_PHYSICAL_TRIP","BLOCK_POSSIBLE_PHYSICAL_DUPLICATE",IF(AND(Z33="simulated",AA33="yes"),"PASS_SIMULATED_ONLY",IF(AND(Z33="actual",AA33&lt;&gt;"yes",W33="factor_verified",AB33&lt;&gt;"",AD33&lt;&gt;"",AE33&lt;&gt;""),"PASS_FORMAL_PRECHECK","REVIEW_DATA_STATUS")))))))))</x:f>
      </x:c>
      <x:c r="AK33" t="str">
        <x:f>IF(AJ33="","",IF(AJ33="BLOCK_MISSING_REQUIRED","缺少活动量/单位/因子/趟次关键字段/证据标识",IF(AJ33="BLOCK_NEGATIVE_ACTIVITY","活动量为负，禁止进入汇总",IF(AJ33="BLOCK_UNSUPPORTED_UNIT","活动单位不在允许单位白名单中",IF(AJ33="BLOCK_UNIT_MISMATCH","活动单位与因子单位不匹配",IF(AJ33="BLOCK_DUPLICATE_LEDGER_ID","台账行ID重复，需复核",IF(AJ33="BLOCK_POSSIBLE_PHYSICAL_DUPLICATE","疑似同一物理趟次/来源行重复，冻结汇总并复核",IF(AJ33="PASS_SIMULATED_ONLY","结构检查通过，但仅供 simulated 测试",IF(AJ33="PASS_FORMAL_PRECHECK","通过结构预检；仍需人工/负责人审批","数据状态需人工复核")))))))))</x:f>
      </x:c>
      <x:c r="AL33" t="str">
        <x:f>IF(A33="","",IF(OR(Z33="simulated",AA33="yes",W33&lt;&gt;"factor_verified",AJ33&lt;&gt;"PASS_FORMAL_PRECHECK",AB33="",AD33="",AE33=""),"NOT_FORMAL_USE","ELIGIBLE_FOR_REVIEW_NOT_APPROVED"))</x:f>
      </x:c>
      <x:c r="AM33" s="12" t="str">
        <x:f>IF(OR(F33="",G33="",J33="",COUNT(L33)=0,M33="",COUNT(N33)=0,COUNT(O33)=0),"",UPPER(F33&amp;"|"&amp;G33&amp;"|"&amp;J33&amp;"|"&amp;TEXT(N33,"0.000")&amp;"|"&amp;TEXT(O33,"0.000")&amp;"|"&amp;TEXT(L33,"0.000")&amp;"|"&amp;M33))</x:f>
      </x:c>
      <x:c r="AN33" s="12" t="str">
        <x:f>IF(A33="","",IF(OR(COUNTIF($C$2:$C$101,C33)&gt;1,AND(AE33&lt;&gt;"",COUNTIF($AE$2:$AE$101,AE33)&gt;1),AND(AM33&lt;&gt;"",COUNTIF($AM$2:$AM$101,AM33)&gt;1)),"BLOCK_POSSIBLE_PHYSICAL_DUPLICATE","PASS_UNIQUE_PHYSICAL_TRIP"))</x:f>
      </x:c>
      <x:c r="AO33" s="12"/>
      <x:c r="AP33" s="12" t="str">
        <x:f>IF(A33="","",IF(AND(Z33="actual",AA33&lt;&gt;"yes",W33="factor_verified",AJ33="PASS_FORMAL_PRECHECK",AN33="PASS_UNIQUE_PHYSICAL_TRIP",AO33="approved",AB33&lt;&gt;"",AD33&lt;&gt;"",AE33&lt;&gt;""),"FORMAL_APPROVED","EXCLUDED_NOT_FORMALLY_APPROVED"))</x:f>
      </x:c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>
        <x:f>IF(G34="","",LEFT(G34,7))</x:f>
      </x:c>
      <x:c r="I34" s="14" t="str">
        <x:f>IF(G34="","",LEFT(G34,4))</x:f>
      </x:c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  <x:c r="T34" s="14" t="str"/>
      <x:c r="U34" s="14" t="str"/>
      <x:c r="V34" s="14" t="str"/>
      <x:c r="W34" s="14" t="str"/>
      <x:c r="X34" s="14" t="str">
        <x:f>IF(OR(L34="",T34=""),"",L34*T34)</x:f>
      </x:c>
      <x:c r="Y34" s="14" t="str">
        <x:f>IF(X34="","",X34/1000)</x:f>
      </x:c>
      <x:c r="Z34" s="14" t="str"/>
      <x:c r="AA34" s="14" t="str"/>
      <x:c r="AB34" s="14" t="str"/>
      <x:c r="AC34" s="14" t="str"/>
      <x:c r="AD34" s="14" t="str"/>
      <x:c r="AE34" s="14" t="str"/>
      <x:c r="AF34" s="14" t="str"/>
      <x:c r="AG34" s="14" t="str"/>
      <x:c r="AH34" s="14" t="str"/>
      <x:c r="AI34" s="14" t="str"/>
      <x:c r="AJ34" t="str">
        <x:f>IF(A34="","",IF(OR(COUNT(L34)=0,M34="",COUNT(T34)=0,U34="",C34="",F34="",G34="",J34="",COUNT(N34)=0,COUNT(O34)=0,AB34="",AD34="",AE34=""),"BLOCK_MISSING_REQUIRED",IF(L34&lt;0,"BLOCK_NEGATIVE_ACTIVITY",IF(AND(M34&lt;&gt;"L",M34&lt;&gt;"kWh",M34&lt;&gt;"km",M34&lt;&gt;"t"),"BLOCK_UNSUPPORTED_UNIT",IF(OR(AND(M34="L",U34&lt;&gt;"kgCO2e/L"),AND(M34="kWh",U34&lt;&gt;"kgCO2e/kWh"),AND(M34="km",U34&lt;&gt;"kgCO2e/km"),AND(M34="t",U34&lt;&gt;"kgCO2e/t")),"BLOCK_UNIT_MISMATCH",IF(COUNTIF($A$2:$A$101,A34)&gt;1,"BLOCK_DUPLICATE_LEDGER_ID",IF(AN34&lt;&gt;"PASS_UNIQUE_PHYSICAL_TRIP","BLOCK_POSSIBLE_PHYSICAL_DUPLICATE",IF(AND(Z34="simulated",AA34="yes"),"PASS_SIMULATED_ONLY",IF(AND(Z34="actual",AA34&lt;&gt;"yes",W34="factor_verified",AB34&lt;&gt;"",AD34&lt;&gt;"",AE34&lt;&gt;""),"PASS_FORMAL_PRECHECK","REVIEW_DATA_STATUS")))))))))</x:f>
      </x:c>
      <x:c r="AK34" t="str">
        <x:f>IF(AJ34="","",IF(AJ34="BLOCK_MISSING_REQUIRED","缺少活动量/单位/因子/趟次关键字段/证据标识",IF(AJ34="BLOCK_NEGATIVE_ACTIVITY","活动量为负，禁止进入汇总",IF(AJ34="BLOCK_UNSUPPORTED_UNIT","活动单位不在允许单位白名单中",IF(AJ34="BLOCK_UNIT_MISMATCH","活动单位与因子单位不匹配",IF(AJ34="BLOCK_DUPLICATE_LEDGER_ID","台账行ID重复，需复核",IF(AJ34="BLOCK_POSSIBLE_PHYSICAL_DUPLICATE","疑似同一物理趟次/来源行重复，冻结汇总并复核",IF(AJ34="PASS_SIMULATED_ONLY","结构检查通过，但仅供 simulated 测试",IF(AJ34="PASS_FORMAL_PRECHECK","通过结构预检；仍需人工/负责人审批","数据状态需人工复核")))))))))</x:f>
      </x:c>
      <x:c r="AL34" t="str">
        <x:f>IF(A34="","",IF(OR(Z34="simulated",AA34="yes",W34&lt;&gt;"factor_verified",AJ34&lt;&gt;"PASS_FORMAL_PRECHECK",AB34="",AD34="",AE34=""),"NOT_FORMAL_USE","ELIGIBLE_FOR_REVIEW_NOT_APPROVED"))</x:f>
      </x:c>
      <x:c r="AM34" s="12" t="str">
        <x:f>IF(OR(F34="",G34="",J34="",COUNT(L34)=0,M34="",COUNT(N34)=0,COUNT(O34)=0),"",UPPER(F34&amp;"|"&amp;G34&amp;"|"&amp;J34&amp;"|"&amp;TEXT(N34,"0.000")&amp;"|"&amp;TEXT(O34,"0.000")&amp;"|"&amp;TEXT(L34,"0.000")&amp;"|"&amp;M34))</x:f>
      </x:c>
      <x:c r="AN34" s="12" t="str">
        <x:f>IF(A34="","",IF(OR(COUNTIF($C$2:$C$101,C34)&gt;1,AND(AE34&lt;&gt;"",COUNTIF($AE$2:$AE$101,AE34)&gt;1),AND(AM34&lt;&gt;"",COUNTIF($AM$2:$AM$101,AM34)&gt;1)),"BLOCK_POSSIBLE_PHYSICAL_DUPLICATE","PASS_UNIQUE_PHYSICAL_TRIP"))</x:f>
      </x:c>
      <x:c r="AO34" s="12"/>
      <x:c r="AP34" s="12" t="str">
        <x:f>IF(A34="","",IF(AND(Z34="actual",AA34&lt;&gt;"yes",W34="factor_verified",AJ34="PASS_FORMAL_PRECHECK",AN34="PASS_UNIQUE_PHYSICAL_TRIP",AO34="approved",AB34&lt;&gt;"",AD34&lt;&gt;"",AE34&lt;&gt;""),"FORMAL_APPROVED","EXCLUDED_NOT_FORMALLY_APPROVED"))</x:f>
      </x:c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>
        <x:f>IF(G35="","",LEFT(G35,7))</x:f>
      </x:c>
      <x:c r="I35" s="14" t="str">
        <x:f>IF(G35="","",LEFT(G35,4))</x:f>
      </x:c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  <x:c r="T35" s="14" t="str"/>
      <x:c r="U35" s="14" t="str"/>
      <x:c r="V35" s="14" t="str"/>
      <x:c r="W35" s="14" t="str"/>
      <x:c r="X35" s="14" t="str">
        <x:f>IF(OR(L35="",T35=""),"",L35*T35)</x:f>
      </x:c>
      <x:c r="Y35" s="14" t="str">
        <x:f>IF(X35="","",X35/1000)</x:f>
      </x:c>
      <x:c r="Z35" s="14" t="str"/>
      <x:c r="AA35" s="14" t="str"/>
      <x:c r="AB35" s="14" t="str"/>
      <x:c r="AC35" s="14" t="str"/>
      <x:c r="AD35" s="14" t="str"/>
      <x:c r="AE35" s="14" t="str"/>
      <x:c r="AF35" s="14" t="str"/>
      <x:c r="AG35" s="14" t="str"/>
      <x:c r="AH35" s="14" t="str"/>
      <x:c r="AI35" s="14" t="str"/>
      <x:c r="AJ35" t="str">
        <x:f>IF(A35="","",IF(OR(COUNT(L35)=0,M35="",COUNT(T35)=0,U35="",C35="",F35="",G35="",J35="",COUNT(N35)=0,COUNT(O35)=0,AB35="",AD35="",AE35=""),"BLOCK_MISSING_REQUIRED",IF(L35&lt;0,"BLOCK_NEGATIVE_ACTIVITY",IF(AND(M35&lt;&gt;"L",M35&lt;&gt;"kWh",M35&lt;&gt;"km",M35&lt;&gt;"t"),"BLOCK_UNSUPPORTED_UNIT",IF(OR(AND(M35="L",U35&lt;&gt;"kgCO2e/L"),AND(M35="kWh",U35&lt;&gt;"kgCO2e/kWh"),AND(M35="km",U35&lt;&gt;"kgCO2e/km"),AND(M35="t",U35&lt;&gt;"kgCO2e/t")),"BLOCK_UNIT_MISMATCH",IF(COUNTIF($A$2:$A$101,A35)&gt;1,"BLOCK_DUPLICATE_LEDGER_ID",IF(AN35&lt;&gt;"PASS_UNIQUE_PHYSICAL_TRIP","BLOCK_POSSIBLE_PHYSICAL_DUPLICATE",IF(AND(Z35="simulated",AA35="yes"),"PASS_SIMULATED_ONLY",IF(AND(Z35="actual",AA35&lt;&gt;"yes",W35="factor_verified",AB35&lt;&gt;"",AD35&lt;&gt;"",AE35&lt;&gt;""),"PASS_FORMAL_PRECHECK","REVIEW_DATA_STATUS")))))))))</x:f>
      </x:c>
      <x:c r="AK35" t="str">
        <x:f>IF(AJ35="","",IF(AJ35="BLOCK_MISSING_REQUIRED","缺少活动量/单位/因子/趟次关键字段/证据标识",IF(AJ35="BLOCK_NEGATIVE_ACTIVITY","活动量为负，禁止进入汇总",IF(AJ35="BLOCK_UNSUPPORTED_UNIT","活动单位不在允许单位白名单中",IF(AJ35="BLOCK_UNIT_MISMATCH","活动单位与因子单位不匹配",IF(AJ35="BLOCK_DUPLICATE_LEDGER_ID","台账行ID重复，需复核",IF(AJ35="BLOCK_POSSIBLE_PHYSICAL_DUPLICATE","疑似同一物理趟次/来源行重复，冻结汇总并复核",IF(AJ35="PASS_SIMULATED_ONLY","结构检查通过，但仅供 simulated 测试",IF(AJ35="PASS_FORMAL_PRECHECK","通过结构预检；仍需人工/负责人审批","数据状态需人工复核")))))))))</x:f>
      </x:c>
      <x:c r="AL35" t="str">
        <x:f>IF(A35="","",IF(OR(Z35="simulated",AA35="yes",W35&lt;&gt;"factor_verified",AJ35&lt;&gt;"PASS_FORMAL_PRECHECK",AB35="",AD35="",AE35=""),"NOT_FORMAL_USE","ELIGIBLE_FOR_REVIEW_NOT_APPROVED"))</x:f>
      </x:c>
      <x:c r="AM35" s="12" t="str">
        <x:f>IF(OR(F35="",G35="",J35="",COUNT(L35)=0,M35="",COUNT(N35)=0,COUNT(O35)=0),"",UPPER(F35&amp;"|"&amp;G35&amp;"|"&amp;J35&amp;"|"&amp;TEXT(N35,"0.000")&amp;"|"&amp;TEXT(O35,"0.000")&amp;"|"&amp;TEXT(L35,"0.000")&amp;"|"&amp;M35))</x:f>
      </x:c>
      <x:c r="AN35" s="12" t="str">
        <x:f>IF(A35="","",IF(OR(COUNTIF($C$2:$C$101,C35)&gt;1,AND(AE35&lt;&gt;"",COUNTIF($AE$2:$AE$101,AE35)&gt;1),AND(AM35&lt;&gt;"",COUNTIF($AM$2:$AM$101,AM35)&gt;1)),"BLOCK_POSSIBLE_PHYSICAL_DUPLICATE","PASS_UNIQUE_PHYSICAL_TRIP"))</x:f>
      </x:c>
      <x:c r="AO35" s="12"/>
      <x:c r="AP35" s="12" t="str">
        <x:f>IF(A35="","",IF(AND(Z35="actual",AA35&lt;&gt;"yes",W35="factor_verified",AJ35="PASS_FORMAL_PRECHECK",AN35="PASS_UNIQUE_PHYSICAL_TRIP",AO35="approved",AB35&lt;&gt;"",AD35&lt;&gt;"",AE35&lt;&gt;""),"FORMAL_APPROVED","EXCLUDED_NOT_FORMALLY_APPROVED"))</x:f>
      </x:c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>
        <x:f>IF(G36="","",LEFT(G36,7))</x:f>
      </x:c>
      <x:c r="I36" s="14" t="str">
        <x:f>IF(G36="","",LEFT(G36,4))</x:f>
      </x:c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  <x:c r="T36" s="14" t="str"/>
      <x:c r="U36" s="14" t="str"/>
      <x:c r="V36" s="14" t="str"/>
      <x:c r="W36" s="14" t="str"/>
      <x:c r="X36" s="14" t="str">
        <x:f>IF(OR(L36="",T36=""),"",L36*T36)</x:f>
      </x:c>
      <x:c r="Y36" s="14" t="str">
        <x:f>IF(X36="","",X36/1000)</x:f>
      </x:c>
      <x:c r="Z36" s="14" t="str"/>
      <x:c r="AA36" s="14" t="str"/>
      <x:c r="AB36" s="14" t="str"/>
      <x:c r="AC36" s="14" t="str"/>
      <x:c r="AD36" s="14" t="str"/>
      <x:c r="AE36" s="14" t="str"/>
      <x:c r="AF36" s="14" t="str"/>
      <x:c r="AG36" s="14" t="str"/>
      <x:c r="AH36" s="14" t="str"/>
      <x:c r="AI36" s="14" t="str"/>
      <x:c r="AJ36" t="str">
        <x:f>IF(A36="","",IF(OR(COUNT(L36)=0,M36="",COUNT(T36)=0,U36="",C36="",F36="",G36="",J36="",COUNT(N36)=0,COUNT(O36)=0,AB36="",AD36="",AE36=""),"BLOCK_MISSING_REQUIRED",IF(L36&lt;0,"BLOCK_NEGATIVE_ACTIVITY",IF(AND(M36&lt;&gt;"L",M36&lt;&gt;"kWh",M36&lt;&gt;"km",M36&lt;&gt;"t"),"BLOCK_UNSUPPORTED_UNIT",IF(OR(AND(M36="L",U36&lt;&gt;"kgCO2e/L"),AND(M36="kWh",U36&lt;&gt;"kgCO2e/kWh"),AND(M36="km",U36&lt;&gt;"kgCO2e/km"),AND(M36="t",U36&lt;&gt;"kgCO2e/t")),"BLOCK_UNIT_MISMATCH",IF(COUNTIF($A$2:$A$101,A36)&gt;1,"BLOCK_DUPLICATE_LEDGER_ID",IF(AN36&lt;&gt;"PASS_UNIQUE_PHYSICAL_TRIP","BLOCK_POSSIBLE_PHYSICAL_DUPLICATE",IF(AND(Z36="simulated",AA36="yes"),"PASS_SIMULATED_ONLY",IF(AND(Z36="actual",AA36&lt;&gt;"yes",W36="factor_verified",AB36&lt;&gt;"",AD36&lt;&gt;"",AE36&lt;&gt;""),"PASS_FORMAL_PRECHECK","REVIEW_DATA_STATUS")))))))))</x:f>
      </x:c>
      <x:c r="AK36" t="str">
        <x:f>IF(AJ36="","",IF(AJ36="BLOCK_MISSING_REQUIRED","缺少活动量/单位/因子/趟次关键字段/证据标识",IF(AJ36="BLOCK_NEGATIVE_ACTIVITY","活动量为负，禁止进入汇总",IF(AJ36="BLOCK_UNSUPPORTED_UNIT","活动单位不在允许单位白名单中",IF(AJ36="BLOCK_UNIT_MISMATCH","活动单位与因子单位不匹配",IF(AJ36="BLOCK_DUPLICATE_LEDGER_ID","台账行ID重复，需复核",IF(AJ36="BLOCK_POSSIBLE_PHYSICAL_DUPLICATE","疑似同一物理趟次/来源行重复，冻结汇总并复核",IF(AJ36="PASS_SIMULATED_ONLY","结构检查通过，但仅供 simulated 测试",IF(AJ36="PASS_FORMAL_PRECHECK","通过结构预检；仍需人工/负责人审批","数据状态需人工复核")))))))))</x:f>
      </x:c>
      <x:c r="AL36" t="str">
        <x:f>IF(A36="","",IF(OR(Z36="simulated",AA36="yes",W36&lt;&gt;"factor_verified",AJ36&lt;&gt;"PASS_FORMAL_PRECHECK",AB36="",AD36="",AE36=""),"NOT_FORMAL_USE","ELIGIBLE_FOR_REVIEW_NOT_APPROVED"))</x:f>
      </x:c>
      <x:c r="AM36" s="12" t="str">
        <x:f>IF(OR(F36="",G36="",J36="",COUNT(L36)=0,M36="",COUNT(N36)=0,COUNT(O36)=0),"",UPPER(F36&amp;"|"&amp;G36&amp;"|"&amp;J36&amp;"|"&amp;TEXT(N36,"0.000")&amp;"|"&amp;TEXT(O36,"0.000")&amp;"|"&amp;TEXT(L36,"0.000")&amp;"|"&amp;M36))</x:f>
      </x:c>
      <x:c r="AN36" s="12" t="str">
        <x:f>IF(A36="","",IF(OR(COUNTIF($C$2:$C$101,C36)&gt;1,AND(AE36&lt;&gt;"",COUNTIF($AE$2:$AE$101,AE36)&gt;1),AND(AM36&lt;&gt;"",COUNTIF($AM$2:$AM$101,AM36)&gt;1)),"BLOCK_POSSIBLE_PHYSICAL_DUPLICATE","PASS_UNIQUE_PHYSICAL_TRIP"))</x:f>
      </x:c>
      <x:c r="AO36" s="12"/>
      <x:c r="AP36" s="12" t="str">
        <x:f>IF(A36="","",IF(AND(Z36="actual",AA36&lt;&gt;"yes",W36="factor_verified",AJ36="PASS_FORMAL_PRECHECK",AN36="PASS_UNIQUE_PHYSICAL_TRIP",AO36="approved",AB36&lt;&gt;"",AD36&lt;&gt;"",AE36&lt;&gt;""),"FORMAL_APPROVED","EXCLUDED_NOT_FORMALLY_APPROVED"))</x:f>
      </x:c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>
        <x:f>IF(G37="","",LEFT(G37,7))</x:f>
      </x:c>
      <x:c r="I37" s="14" t="str">
        <x:f>IF(G37="","",LEFT(G37,4))</x:f>
      </x:c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  <x:c r="T37" s="14" t="str"/>
      <x:c r="U37" s="14" t="str"/>
      <x:c r="V37" s="14" t="str"/>
      <x:c r="W37" s="14" t="str"/>
      <x:c r="X37" s="14" t="str">
        <x:f>IF(OR(L37="",T37=""),"",L37*T37)</x:f>
      </x:c>
      <x:c r="Y37" s="14" t="str">
        <x:f>IF(X37="","",X37/1000)</x:f>
      </x:c>
      <x:c r="Z37" s="14" t="str"/>
      <x:c r="AA37" s="14" t="str"/>
      <x:c r="AB37" s="14" t="str"/>
      <x:c r="AC37" s="14" t="str"/>
      <x:c r="AD37" s="14" t="str"/>
      <x:c r="AE37" s="14" t="str"/>
      <x:c r="AF37" s="14" t="str"/>
      <x:c r="AG37" s="14" t="str"/>
      <x:c r="AH37" s="14" t="str"/>
      <x:c r="AI37" s="14" t="str"/>
      <x:c r="AJ37" t="str">
        <x:f>IF(A37="","",IF(OR(COUNT(L37)=0,M37="",COUNT(T37)=0,U37="",C37="",F37="",G37="",J37="",COUNT(N37)=0,COUNT(O37)=0,AB37="",AD37="",AE37=""),"BLOCK_MISSING_REQUIRED",IF(L37&lt;0,"BLOCK_NEGATIVE_ACTIVITY",IF(AND(M37&lt;&gt;"L",M37&lt;&gt;"kWh",M37&lt;&gt;"km",M37&lt;&gt;"t"),"BLOCK_UNSUPPORTED_UNIT",IF(OR(AND(M37="L",U37&lt;&gt;"kgCO2e/L"),AND(M37="kWh",U37&lt;&gt;"kgCO2e/kWh"),AND(M37="km",U37&lt;&gt;"kgCO2e/km"),AND(M37="t",U37&lt;&gt;"kgCO2e/t")),"BLOCK_UNIT_MISMATCH",IF(COUNTIF($A$2:$A$101,A37)&gt;1,"BLOCK_DUPLICATE_LEDGER_ID",IF(AN37&lt;&gt;"PASS_UNIQUE_PHYSICAL_TRIP","BLOCK_POSSIBLE_PHYSICAL_DUPLICATE",IF(AND(Z37="simulated",AA37="yes"),"PASS_SIMULATED_ONLY",IF(AND(Z37="actual",AA37&lt;&gt;"yes",W37="factor_verified",AB37&lt;&gt;"",AD37&lt;&gt;"",AE37&lt;&gt;""),"PASS_FORMAL_PRECHECK","REVIEW_DATA_STATUS")))))))))</x:f>
      </x:c>
      <x:c r="AK37" t="str">
        <x:f>IF(AJ37="","",IF(AJ37="BLOCK_MISSING_REQUIRED","缺少活动量/单位/因子/趟次关键字段/证据标识",IF(AJ37="BLOCK_NEGATIVE_ACTIVITY","活动量为负，禁止进入汇总",IF(AJ37="BLOCK_UNSUPPORTED_UNIT","活动单位不在允许单位白名单中",IF(AJ37="BLOCK_UNIT_MISMATCH","活动单位与因子单位不匹配",IF(AJ37="BLOCK_DUPLICATE_LEDGER_ID","台账行ID重复，需复核",IF(AJ37="BLOCK_POSSIBLE_PHYSICAL_DUPLICATE","疑似同一物理趟次/来源行重复，冻结汇总并复核",IF(AJ37="PASS_SIMULATED_ONLY","结构检查通过，但仅供 simulated 测试",IF(AJ37="PASS_FORMAL_PRECHECK","通过结构预检；仍需人工/负责人审批","数据状态需人工复核")))))))))</x:f>
      </x:c>
      <x:c r="AL37" t="str">
        <x:f>IF(A37="","",IF(OR(Z37="simulated",AA37="yes",W37&lt;&gt;"factor_verified",AJ37&lt;&gt;"PASS_FORMAL_PRECHECK",AB37="",AD37="",AE37=""),"NOT_FORMAL_USE","ELIGIBLE_FOR_REVIEW_NOT_APPROVED"))</x:f>
      </x:c>
      <x:c r="AM37" s="12" t="str">
        <x:f>IF(OR(F37="",G37="",J37="",COUNT(L37)=0,M37="",COUNT(N37)=0,COUNT(O37)=0),"",UPPER(F37&amp;"|"&amp;G37&amp;"|"&amp;J37&amp;"|"&amp;TEXT(N37,"0.000")&amp;"|"&amp;TEXT(O37,"0.000")&amp;"|"&amp;TEXT(L37,"0.000")&amp;"|"&amp;M37))</x:f>
      </x:c>
      <x:c r="AN37" s="12" t="str">
        <x:f>IF(A37="","",IF(OR(COUNTIF($C$2:$C$101,C37)&gt;1,AND(AE37&lt;&gt;"",COUNTIF($AE$2:$AE$101,AE37)&gt;1),AND(AM37&lt;&gt;"",COUNTIF($AM$2:$AM$101,AM37)&gt;1)),"BLOCK_POSSIBLE_PHYSICAL_DUPLICATE","PASS_UNIQUE_PHYSICAL_TRIP"))</x:f>
      </x:c>
      <x:c r="AO37" s="12"/>
      <x:c r="AP37" s="12" t="str">
        <x:f>IF(A37="","",IF(AND(Z37="actual",AA37&lt;&gt;"yes",W37="factor_verified",AJ37="PASS_FORMAL_PRECHECK",AN37="PASS_UNIQUE_PHYSICAL_TRIP",AO37="approved",AB37&lt;&gt;"",AD37&lt;&gt;"",AE37&lt;&gt;""),"FORMAL_APPROVED","EXCLUDED_NOT_FORMALLY_APPROVED"))</x:f>
      </x:c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>
        <x:f>IF(G38="","",LEFT(G38,7))</x:f>
      </x:c>
      <x:c r="I38" s="14" t="str">
        <x:f>IF(G38="","",LEFT(G38,4))</x:f>
      </x:c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  <x:c r="T38" s="14" t="str"/>
      <x:c r="U38" s="14" t="str"/>
      <x:c r="V38" s="14" t="str"/>
      <x:c r="W38" s="14" t="str"/>
      <x:c r="X38" s="14" t="str">
        <x:f>IF(OR(L38="",T38=""),"",L38*T38)</x:f>
      </x:c>
      <x:c r="Y38" s="14" t="str">
        <x:f>IF(X38="","",X38/1000)</x:f>
      </x:c>
      <x:c r="Z38" s="14" t="str"/>
      <x:c r="AA38" s="14" t="str"/>
      <x:c r="AB38" s="14" t="str"/>
      <x:c r="AC38" s="14" t="str"/>
      <x:c r="AD38" s="14" t="str"/>
      <x:c r="AE38" s="14" t="str"/>
      <x:c r="AF38" s="14" t="str"/>
      <x:c r="AG38" s="14" t="str"/>
      <x:c r="AH38" s="14" t="str"/>
      <x:c r="AI38" s="14" t="str"/>
      <x:c r="AJ38" t="str">
        <x:f>IF(A38="","",IF(OR(COUNT(L38)=0,M38="",COUNT(T38)=0,U38="",C38="",F38="",G38="",J38="",COUNT(N38)=0,COUNT(O38)=0,AB38="",AD38="",AE38=""),"BLOCK_MISSING_REQUIRED",IF(L38&lt;0,"BLOCK_NEGATIVE_ACTIVITY",IF(AND(M38&lt;&gt;"L",M38&lt;&gt;"kWh",M38&lt;&gt;"km",M38&lt;&gt;"t"),"BLOCK_UNSUPPORTED_UNIT",IF(OR(AND(M38="L",U38&lt;&gt;"kgCO2e/L"),AND(M38="kWh",U38&lt;&gt;"kgCO2e/kWh"),AND(M38="km",U38&lt;&gt;"kgCO2e/km"),AND(M38="t",U38&lt;&gt;"kgCO2e/t")),"BLOCK_UNIT_MISMATCH",IF(COUNTIF($A$2:$A$101,A38)&gt;1,"BLOCK_DUPLICATE_LEDGER_ID",IF(AN38&lt;&gt;"PASS_UNIQUE_PHYSICAL_TRIP","BLOCK_POSSIBLE_PHYSICAL_DUPLICATE",IF(AND(Z38="simulated",AA38="yes"),"PASS_SIMULATED_ONLY",IF(AND(Z38="actual",AA38&lt;&gt;"yes",W38="factor_verified",AB38&lt;&gt;"",AD38&lt;&gt;"",AE38&lt;&gt;""),"PASS_FORMAL_PRECHECK","REVIEW_DATA_STATUS")))))))))</x:f>
      </x:c>
      <x:c r="AK38" t="str">
        <x:f>IF(AJ38="","",IF(AJ38="BLOCK_MISSING_REQUIRED","缺少活动量/单位/因子/趟次关键字段/证据标识",IF(AJ38="BLOCK_NEGATIVE_ACTIVITY","活动量为负，禁止进入汇总",IF(AJ38="BLOCK_UNSUPPORTED_UNIT","活动单位不在允许单位白名单中",IF(AJ38="BLOCK_UNIT_MISMATCH","活动单位与因子单位不匹配",IF(AJ38="BLOCK_DUPLICATE_LEDGER_ID","台账行ID重复，需复核",IF(AJ38="BLOCK_POSSIBLE_PHYSICAL_DUPLICATE","疑似同一物理趟次/来源行重复，冻结汇总并复核",IF(AJ38="PASS_SIMULATED_ONLY","结构检查通过，但仅供 simulated 测试",IF(AJ38="PASS_FORMAL_PRECHECK","通过结构预检；仍需人工/负责人审批","数据状态需人工复核")))))))))</x:f>
      </x:c>
      <x:c r="AL38" t="str">
        <x:f>IF(A38="","",IF(OR(Z38="simulated",AA38="yes",W38&lt;&gt;"factor_verified",AJ38&lt;&gt;"PASS_FORMAL_PRECHECK",AB38="",AD38="",AE38=""),"NOT_FORMAL_USE","ELIGIBLE_FOR_REVIEW_NOT_APPROVED"))</x:f>
      </x:c>
      <x:c r="AM38" s="12" t="str">
        <x:f>IF(OR(F38="",G38="",J38="",COUNT(L38)=0,M38="",COUNT(N38)=0,COUNT(O38)=0),"",UPPER(F38&amp;"|"&amp;G38&amp;"|"&amp;J38&amp;"|"&amp;TEXT(N38,"0.000")&amp;"|"&amp;TEXT(O38,"0.000")&amp;"|"&amp;TEXT(L38,"0.000")&amp;"|"&amp;M38))</x:f>
      </x:c>
      <x:c r="AN38" s="12" t="str">
        <x:f>IF(A38="","",IF(OR(COUNTIF($C$2:$C$101,C38)&gt;1,AND(AE38&lt;&gt;"",COUNTIF($AE$2:$AE$101,AE38)&gt;1),AND(AM38&lt;&gt;"",COUNTIF($AM$2:$AM$101,AM38)&gt;1)),"BLOCK_POSSIBLE_PHYSICAL_DUPLICATE","PASS_UNIQUE_PHYSICAL_TRIP"))</x:f>
      </x:c>
      <x:c r="AO38" s="12"/>
      <x:c r="AP38" s="12" t="str">
        <x:f>IF(A38="","",IF(AND(Z38="actual",AA38&lt;&gt;"yes",W38="factor_verified",AJ38="PASS_FORMAL_PRECHECK",AN38="PASS_UNIQUE_PHYSICAL_TRIP",AO38="approved",AB38&lt;&gt;"",AD38&lt;&gt;"",AE38&lt;&gt;""),"FORMAL_APPROVED","EXCLUDED_NOT_FORMALLY_APPROVED"))</x:f>
      </x:c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>
        <x:f>IF(G39="","",LEFT(G39,7))</x:f>
      </x:c>
      <x:c r="I39" s="14" t="str">
        <x:f>IF(G39="","",LEFT(G39,4))</x:f>
      </x:c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str"/>
      <x:c r="T39" s="14" t="str"/>
      <x:c r="U39" s="14" t="str"/>
      <x:c r="V39" s="14" t="str"/>
      <x:c r="W39" s="14" t="str"/>
      <x:c r="X39" s="14" t="str">
        <x:f>IF(OR(L39="",T39=""),"",L39*T39)</x:f>
      </x:c>
      <x:c r="Y39" s="14" t="str">
        <x:f>IF(X39="","",X39/1000)</x:f>
      </x:c>
      <x:c r="Z39" s="14" t="str"/>
      <x:c r="AA39" s="14" t="str"/>
      <x:c r="AB39" s="14" t="str"/>
      <x:c r="AC39" s="14" t="str"/>
      <x:c r="AD39" s="14" t="str"/>
      <x:c r="AE39" s="14" t="str"/>
      <x:c r="AF39" s="14" t="str"/>
      <x:c r="AG39" s="14" t="str"/>
      <x:c r="AH39" s="14" t="str"/>
      <x:c r="AI39" s="14" t="str"/>
      <x:c r="AJ39" t="str">
        <x:f>IF(A39="","",IF(OR(COUNT(L39)=0,M39="",COUNT(T39)=0,U39="",C39="",F39="",G39="",J39="",COUNT(N39)=0,COUNT(O39)=0,AB39="",AD39="",AE39=""),"BLOCK_MISSING_REQUIRED",IF(L39&lt;0,"BLOCK_NEGATIVE_ACTIVITY",IF(AND(M39&lt;&gt;"L",M39&lt;&gt;"kWh",M39&lt;&gt;"km",M39&lt;&gt;"t"),"BLOCK_UNSUPPORTED_UNIT",IF(OR(AND(M39="L",U39&lt;&gt;"kgCO2e/L"),AND(M39="kWh",U39&lt;&gt;"kgCO2e/kWh"),AND(M39="km",U39&lt;&gt;"kgCO2e/km"),AND(M39="t",U39&lt;&gt;"kgCO2e/t")),"BLOCK_UNIT_MISMATCH",IF(COUNTIF($A$2:$A$101,A39)&gt;1,"BLOCK_DUPLICATE_LEDGER_ID",IF(AN39&lt;&gt;"PASS_UNIQUE_PHYSICAL_TRIP","BLOCK_POSSIBLE_PHYSICAL_DUPLICATE",IF(AND(Z39="simulated",AA39="yes"),"PASS_SIMULATED_ONLY",IF(AND(Z39="actual",AA39&lt;&gt;"yes",W39="factor_verified",AB39&lt;&gt;"",AD39&lt;&gt;"",AE39&lt;&gt;""),"PASS_FORMAL_PRECHECK","REVIEW_DATA_STATUS")))))))))</x:f>
      </x:c>
      <x:c r="AK39" t="str">
        <x:f>IF(AJ39="","",IF(AJ39="BLOCK_MISSING_REQUIRED","缺少活动量/单位/因子/趟次关键字段/证据标识",IF(AJ39="BLOCK_NEGATIVE_ACTIVITY","活动量为负，禁止进入汇总",IF(AJ39="BLOCK_UNSUPPORTED_UNIT","活动单位不在允许单位白名单中",IF(AJ39="BLOCK_UNIT_MISMATCH","活动单位与因子单位不匹配",IF(AJ39="BLOCK_DUPLICATE_LEDGER_ID","台账行ID重复，需复核",IF(AJ39="BLOCK_POSSIBLE_PHYSICAL_DUPLICATE","疑似同一物理趟次/来源行重复，冻结汇总并复核",IF(AJ39="PASS_SIMULATED_ONLY","结构检查通过，但仅供 simulated 测试",IF(AJ39="PASS_FORMAL_PRECHECK","通过结构预检；仍需人工/负责人审批","数据状态需人工复核")))))))))</x:f>
      </x:c>
      <x:c r="AL39" t="str">
        <x:f>IF(A39="","",IF(OR(Z39="simulated",AA39="yes",W39&lt;&gt;"factor_verified",AJ39&lt;&gt;"PASS_FORMAL_PRECHECK",AB39="",AD39="",AE39=""),"NOT_FORMAL_USE","ELIGIBLE_FOR_REVIEW_NOT_APPROVED"))</x:f>
      </x:c>
      <x:c r="AM39" s="12" t="str">
        <x:f>IF(OR(F39="",G39="",J39="",COUNT(L39)=0,M39="",COUNT(N39)=0,COUNT(O39)=0),"",UPPER(F39&amp;"|"&amp;G39&amp;"|"&amp;J39&amp;"|"&amp;TEXT(N39,"0.000")&amp;"|"&amp;TEXT(O39,"0.000")&amp;"|"&amp;TEXT(L39,"0.000")&amp;"|"&amp;M39))</x:f>
      </x:c>
      <x:c r="AN39" s="12" t="str">
        <x:f>IF(A39="","",IF(OR(COUNTIF($C$2:$C$101,C39)&gt;1,AND(AE39&lt;&gt;"",COUNTIF($AE$2:$AE$101,AE39)&gt;1),AND(AM39&lt;&gt;"",COUNTIF($AM$2:$AM$101,AM39)&gt;1)),"BLOCK_POSSIBLE_PHYSICAL_DUPLICATE","PASS_UNIQUE_PHYSICAL_TRIP"))</x:f>
      </x:c>
      <x:c r="AO39" s="12"/>
      <x:c r="AP39" s="12" t="str">
        <x:f>IF(A39="","",IF(AND(Z39="actual",AA39&lt;&gt;"yes",W39="factor_verified",AJ39="PASS_FORMAL_PRECHECK",AN39="PASS_UNIQUE_PHYSICAL_TRIP",AO39="approved",AB39&lt;&gt;"",AD39&lt;&gt;"",AE39&lt;&gt;""),"FORMAL_APPROVED","EXCLUDED_NOT_FORMALLY_APPROVED"))</x:f>
      </x:c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>
        <x:f>IF(G40="","",LEFT(G40,7))</x:f>
      </x:c>
      <x:c r="I40" s="14" t="str">
        <x:f>IF(G40="","",LEFT(G40,4))</x:f>
      </x:c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  <x:c r="T40" s="14" t="str"/>
      <x:c r="U40" s="14" t="str"/>
      <x:c r="V40" s="14" t="str"/>
      <x:c r="W40" s="14" t="str"/>
      <x:c r="X40" s="14" t="str">
        <x:f>IF(OR(L40="",T40=""),"",L40*T40)</x:f>
      </x:c>
      <x:c r="Y40" s="14" t="str">
        <x:f>IF(X40="","",X40/1000)</x:f>
      </x:c>
      <x:c r="Z40" s="14" t="str"/>
      <x:c r="AA40" s="14" t="str"/>
      <x:c r="AB40" s="14" t="str"/>
      <x:c r="AC40" s="14" t="str"/>
      <x:c r="AD40" s="14" t="str"/>
      <x:c r="AE40" s="14" t="str"/>
      <x:c r="AF40" s="14" t="str"/>
      <x:c r="AG40" s="14" t="str"/>
      <x:c r="AH40" s="14" t="str"/>
      <x:c r="AI40" s="14" t="str"/>
      <x:c r="AJ40" t="str">
        <x:f>IF(A40="","",IF(OR(COUNT(L40)=0,M40="",COUNT(T40)=0,U40="",C40="",F40="",G40="",J40="",COUNT(N40)=0,COUNT(O40)=0,AB40="",AD40="",AE40=""),"BLOCK_MISSING_REQUIRED",IF(L40&lt;0,"BLOCK_NEGATIVE_ACTIVITY",IF(AND(M40&lt;&gt;"L",M40&lt;&gt;"kWh",M40&lt;&gt;"km",M40&lt;&gt;"t"),"BLOCK_UNSUPPORTED_UNIT",IF(OR(AND(M40="L",U40&lt;&gt;"kgCO2e/L"),AND(M40="kWh",U40&lt;&gt;"kgCO2e/kWh"),AND(M40="km",U40&lt;&gt;"kgCO2e/km"),AND(M40="t",U40&lt;&gt;"kgCO2e/t")),"BLOCK_UNIT_MISMATCH",IF(COUNTIF($A$2:$A$101,A40)&gt;1,"BLOCK_DUPLICATE_LEDGER_ID",IF(AN40&lt;&gt;"PASS_UNIQUE_PHYSICAL_TRIP","BLOCK_POSSIBLE_PHYSICAL_DUPLICATE",IF(AND(Z40="simulated",AA40="yes"),"PASS_SIMULATED_ONLY",IF(AND(Z40="actual",AA40&lt;&gt;"yes",W40="factor_verified",AB40&lt;&gt;"",AD40&lt;&gt;"",AE40&lt;&gt;""),"PASS_FORMAL_PRECHECK","REVIEW_DATA_STATUS")))))))))</x:f>
      </x:c>
      <x:c r="AK40" t="str">
        <x:f>IF(AJ40="","",IF(AJ40="BLOCK_MISSING_REQUIRED","缺少活动量/单位/因子/趟次关键字段/证据标识",IF(AJ40="BLOCK_NEGATIVE_ACTIVITY","活动量为负，禁止进入汇总",IF(AJ40="BLOCK_UNSUPPORTED_UNIT","活动单位不在允许单位白名单中",IF(AJ40="BLOCK_UNIT_MISMATCH","活动单位与因子单位不匹配",IF(AJ40="BLOCK_DUPLICATE_LEDGER_ID","台账行ID重复，需复核",IF(AJ40="BLOCK_POSSIBLE_PHYSICAL_DUPLICATE","疑似同一物理趟次/来源行重复，冻结汇总并复核",IF(AJ40="PASS_SIMULATED_ONLY","结构检查通过，但仅供 simulated 测试",IF(AJ40="PASS_FORMAL_PRECHECK","通过结构预检；仍需人工/负责人审批","数据状态需人工复核")))))))))</x:f>
      </x:c>
      <x:c r="AL40" t="str">
        <x:f>IF(A40="","",IF(OR(Z40="simulated",AA40="yes",W40&lt;&gt;"factor_verified",AJ40&lt;&gt;"PASS_FORMAL_PRECHECK",AB40="",AD40="",AE40=""),"NOT_FORMAL_USE","ELIGIBLE_FOR_REVIEW_NOT_APPROVED"))</x:f>
      </x:c>
      <x:c r="AM40" s="12" t="str">
        <x:f>IF(OR(F40="",G40="",J40="",COUNT(L40)=0,M40="",COUNT(N40)=0,COUNT(O40)=0),"",UPPER(F40&amp;"|"&amp;G40&amp;"|"&amp;J40&amp;"|"&amp;TEXT(N40,"0.000")&amp;"|"&amp;TEXT(O40,"0.000")&amp;"|"&amp;TEXT(L40,"0.000")&amp;"|"&amp;M40))</x:f>
      </x:c>
      <x:c r="AN40" s="12" t="str">
        <x:f>IF(A40="","",IF(OR(COUNTIF($C$2:$C$101,C40)&gt;1,AND(AE40&lt;&gt;"",COUNTIF($AE$2:$AE$101,AE40)&gt;1),AND(AM40&lt;&gt;"",COUNTIF($AM$2:$AM$101,AM40)&gt;1)),"BLOCK_POSSIBLE_PHYSICAL_DUPLICATE","PASS_UNIQUE_PHYSICAL_TRIP"))</x:f>
      </x:c>
      <x:c r="AO40" s="12"/>
      <x:c r="AP40" s="12" t="str">
        <x:f>IF(A40="","",IF(AND(Z40="actual",AA40&lt;&gt;"yes",W40="factor_verified",AJ40="PASS_FORMAL_PRECHECK",AN40="PASS_UNIQUE_PHYSICAL_TRIP",AO40="approved",AB40&lt;&gt;"",AD40&lt;&gt;"",AE40&lt;&gt;""),"FORMAL_APPROVED","EXCLUDED_NOT_FORMALLY_APPROVED"))</x:f>
      </x:c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>
        <x:f>IF(G41="","",LEFT(G41,7))</x:f>
      </x:c>
      <x:c r="I41" s="14" t="str">
        <x:f>IF(G41="","",LEFT(G41,4))</x:f>
      </x:c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  <x:c r="T41" s="14" t="str"/>
      <x:c r="U41" s="14" t="str"/>
      <x:c r="V41" s="14" t="str"/>
      <x:c r="W41" s="14" t="str"/>
      <x:c r="X41" s="14" t="str">
        <x:f>IF(OR(L41="",T41=""),"",L41*T41)</x:f>
      </x:c>
      <x:c r="Y41" s="14" t="str">
        <x:f>IF(X41="","",X41/1000)</x:f>
      </x:c>
      <x:c r="Z41" s="14" t="str"/>
      <x:c r="AA41" s="14" t="str"/>
      <x:c r="AB41" s="14" t="str"/>
      <x:c r="AC41" s="14" t="str"/>
      <x:c r="AD41" s="14" t="str"/>
      <x:c r="AE41" s="14" t="str"/>
      <x:c r="AF41" s="14" t="str"/>
      <x:c r="AG41" s="14" t="str"/>
      <x:c r="AH41" s="14" t="str"/>
      <x:c r="AI41" s="14" t="str"/>
      <x:c r="AJ41" t="str">
        <x:f>IF(A41="","",IF(OR(COUNT(L41)=0,M41="",COUNT(T41)=0,U41="",C41="",F41="",G41="",J41="",COUNT(N41)=0,COUNT(O41)=0,AB41="",AD41="",AE41=""),"BLOCK_MISSING_REQUIRED",IF(L41&lt;0,"BLOCK_NEGATIVE_ACTIVITY",IF(AND(M41&lt;&gt;"L",M41&lt;&gt;"kWh",M41&lt;&gt;"km",M41&lt;&gt;"t"),"BLOCK_UNSUPPORTED_UNIT",IF(OR(AND(M41="L",U41&lt;&gt;"kgCO2e/L"),AND(M41="kWh",U41&lt;&gt;"kgCO2e/kWh"),AND(M41="km",U41&lt;&gt;"kgCO2e/km"),AND(M41="t",U41&lt;&gt;"kgCO2e/t")),"BLOCK_UNIT_MISMATCH",IF(COUNTIF($A$2:$A$101,A41)&gt;1,"BLOCK_DUPLICATE_LEDGER_ID",IF(AN41&lt;&gt;"PASS_UNIQUE_PHYSICAL_TRIP","BLOCK_POSSIBLE_PHYSICAL_DUPLICATE",IF(AND(Z41="simulated",AA41="yes"),"PASS_SIMULATED_ONLY",IF(AND(Z41="actual",AA41&lt;&gt;"yes",W41="factor_verified",AB41&lt;&gt;"",AD41&lt;&gt;"",AE41&lt;&gt;""),"PASS_FORMAL_PRECHECK","REVIEW_DATA_STATUS")))))))))</x:f>
      </x:c>
      <x:c r="AK41" t="str">
        <x:f>IF(AJ41="","",IF(AJ41="BLOCK_MISSING_REQUIRED","缺少活动量/单位/因子/趟次关键字段/证据标识",IF(AJ41="BLOCK_NEGATIVE_ACTIVITY","活动量为负，禁止进入汇总",IF(AJ41="BLOCK_UNSUPPORTED_UNIT","活动单位不在允许单位白名单中",IF(AJ41="BLOCK_UNIT_MISMATCH","活动单位与因子单位不匹配",IF(AJ41="BLOCK_DUPLICATE_LEDGER_ID","台账行ID重复，需复核",IF(AJ41="BLOCK_POSSIBLE_PHYSICAL_DUPLICATE","疑似同一物理趟次/来源行重复，冻结汇总并复核",IF(AJ41="PASS_SIMULATED_ONLY","结构检查通过，但仅供 simulated 测试",IF(AJ41="PASS_FORMAL_PRECHECK","通过结构预检；仍需人工/负责人审批","数据状态需人工复核")))))))))</x:f>
      </x:c>
      <x:c r="AL41" t="str">
        <x:f>IF(A41="","",IF(OR(Z41="simulated",AA41="yes",W41&lt;&gt;"factor_verified",AJ41&lt;&gt;"PASS_FORMAL_PRECHECK",AB41="",AD41="",AE41=""),"NOT_FORMAL_USE","ELIGIBLE_FOR_REVIEW_NOT_APPROVED"))</x:f>
      </x:c>
      <x:c r="AM41" s="12" t="str">
        <x:f>IF(OR(F41="",G41="",J41="",COUNT(L41)=0,M41="",COUNT(N41)=0,COUNT(O41)=0),"",UPPER(F41&amp;"|"&amp;G41&amp;"|"&amp;J41&amp;"|"&amp;TEXT(N41,"0.000")&amp;"|"&amp;TEXT(O41,"0.000")&amp;"|"&amp;TEXT(L41,"0.000")&amp;"|"&amp;M41))</x:f>
      </x:c>
      <x:c r="AN41" s="12" t="str">
        <x:f>IF(A41="","",IF(OR(COUNTIF($C$2:$C$101,C41)&gt;1,AND(AE41&lt;&gt;"",COUNTIF($AE$2:$AE$101,AE41)&gt;1),AND(AM41&lt;&gt;"",COUNTIF($AM$2:$AM$101,AM41)&gt;1)),"BLOCK_POSSIBLE_PHYSICAL_DUPLICATE","PASS_UNIQUE_PHYSICAL_TRIP"))</x:f>
      </x:c>
      <x:c r="AO41" s="12"/>
      <x:c r="AP41" s="12" t="str">
        <x:f>IF(A41="","",IF(AND(Z41="actual",AA41&lt;&gt;"yes",W41="factor_verified",AJ41="PASS_FORMAL_PRECHECK",AN41="PASS_UNIQUE_PHYSICAL_TRIP",AO41="approved",AB41&lt;&gt;"",AD41&lt;&gt;"",AE41&lt;&gt;""),"FORMAL_APPROVED","EXCLUDED_NOT_FORMALLY_APPROVED"))</x:f>
      </x:c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>
        <x:f>IF(G42="","",LEFT(G42,7))</x:f>
      </x:c>
      <x:c r="I42" s="14" t="str">
        <x:f>IF(G42="","",LEFT(G42,4))</x:f>
      </x:c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  <x:c r="T42" s="14" t="str"/>
      <x:c r="U42" s="14" t="str"/>
      <x:c r="V42" s="14" t="str"/>
      <x:c r="W42" s="14" t="str"/>
      <x:c r="X42" s="14" t="str">
        <x:f>IF(OR(L42="",T42=""),"",L42*T42)</x:f>
      </x:c>
      <x:c r="Y42" s="14" t="str">
        <x:f>IF(X42="","",X42/1000)</x:f>
      </x:c>
      <x:c r="Z42" s="14" t="str"/>
      <x:c r="AA42" s="14" t="str"/>
      <x:c r="AB42" s="14" t="str"/>
      <x:c r="AC42" s="14" t="str"/>
      <x:c r="AD42" s="14" t="str"/>
      <x:c r="AE42" s="14" t="str"/>
      <x:c r="AF42" s="14" t="str"/>
      <x:c r="AG42" s="14" t="str"/>
      <x:c r="AH42" s="14" t="str"/>
      <x:c r="AI42" s="14" t="str"/>
      <x:c r="AJ42" t="str">
        <x:f>IF(A42="","",IF(OR(COUNT(L42)=0,M42="",COUNT(T42)=0,U42="",C42="",F42="",G42="",J42="",COUNT(N42)=0,COUNT(O42)=0,AB42="",AD42="",AE42=""),"BLOCK_MISSING_REQUIRED",IF(L42&lt;0,"BLOCK_NEGATIVE_ACTIVITY",IF(AND(M42&lt;&gt;"L",M42&lt;&gt;"kWh",M42&lt;&gt;"km",M42&lt;&gt;"t"),"BLOCK_UNSUPPORTED_UNIT",IF(OR(AND(M42="L",U42&lt;&gt;"kgCO2e/L"),AND(M42="kWh",U42&lt;&gt;"kgCO2e/kWh"),AND(M42="km",U42&lt;&gt;"kgCO2e/km"),AND(M42="t",U42&lt;&gt;"kgCO2e/t")),"BLOCK_UNIT_MISMATCH",IF(COUNTIF($A$2:$A$101,A42)&gt;1,"BLOCK_DUPLICATE_LEDGER_ID",IF(AN42&lt;&gt;"PASS_UNIQUE_PHYSICAL_TRIP","BLOCK_POSSIBLE_PHYSICAL_DUPLICATE",IF(AND(Z42="simulated",AA42="yes"),"PASS_SIMULATED_ONLY",IF(AND(Z42="actual",AA42&lt;&gt;"yes",W42="factor_verified",AB42&lt;&gt;"",AD42&lt;&gt;"",AE42&lt;&gt;""),"PASS_FORMAL_PRECHECK","REVIEW_DATA_STATUS")))))))))</x:f>
      </x:c>
      <x:c r="AK42" t="str">
        <x:f>IF(AJ42="","",IF(AJ42="BLOCK_MISSING_REQUIRED","缺少活动量/单位/因子/趟次关键字段/证据标识",IF(AJ42="BLOCK_NEGATIVE_ACTIVITY","活动量为负，禁止进入汇总",IF(AJ42="BLOCK_UNSUPPORTED_UNIT","活动单位不在允许单位白名单中",IF(AJ42="BLOCK_UNIT_MISMATCH","活动单位与因子单位不匹配",IF(AJ42="BLOCK_DUPLICATE_LEDGER_ID","台账行ID重复，需复核",IF(AJ42="BLOCK_POSSIBLE_PHYSICAL_DUPLICATE","疑似同一物理趟次/来源行重复，冻结汇总并复核",IF(AJ42="PASS_SIMULATED_ONLY","结构检查通过，但仅供 simulated 测试",IF(AJ42="PASS_FORMAL_PRECHECK","通过结构预检；仍需人工/负责人审批","数据状态需人工复核")))))))))</x:f>
      </x:c>
      <x:c r="AL42" t="str">
        <x:f>IF(A42="","",IF(OR(Z42="simulated",AA42="yes",W42&lt;&gt;"factor_verified",AJ42&lt;&gt;"PASS_FORMAL_PRECHECK",AB42="",AD42="",AE42=""),"NOT_FORMAL_USE","ELIGIBLE_FOR_REVIEW_NOT_APPROVED"))</x:f>
      </x:c>
      <x:c r="AM42" s="12" t="str">
        <x:f>IF(OR(F42="",G42="",J42="",COUNT(L42)=0,M42="",COUNT(N42)=0,COUNT(O42)=0),"",UPPER(F42&amp;"|"&amp;G42&amp;"|"&amp;J42&amp;"|"&amp;TEXT(N42,"0.000")&amp;"|"&amp;TEXT(O42,"0.000")&amp;"|"&amp;TEXT(L42,"0.000")&amp;"|"&amp;M42))</x:f>
      </x:c>
      <x:c r="AN42" s="12" t="str">
        <x:f>IF(A42="","",IF(OR(COUNTIF($C$2:$C$101,C42)&gt;1,AND(AE42&lt;&gt;"",COUNTIF($AE$2:$AE$101,AE42)&gt;1),AND(AM42&lt;&gt;"",COUNTIF($AM$2:$AM$101,AM42)&gt;1)),"BLOCK_POSSIBLE_PHYSICAL_DUPLICATE","PASS_UNIQUE_PHYSICAL_TRIP"))</x:f>
      </x:c>
      <x:c r="AO42" s="12"/>
      <x:c r="AP42" s="12" t="str">
        <x:f>IF(A42="","",IF(AND(Z42="actual",AA42&lt;&gt;"yes",W42="factor_verified",AJ42="PASS_FORMAL_PRECHECK",AN42="PASS_UNIQUE_PHYSICAL_TRIP",AO42="approved",AB42&lt;&gt;"",AD42&lt;&gt;"",AE42&lt;&gt;""),"FORMAL_APPROVED","EXCLUDED_NOT_FORMALLY_APPROVED"))</x:f>
      </x:c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>
        <x:f>IF(G43="","",LEFT(G43,7))</x:f>
      </x:c>
      <x:c r="I43" s="14" t="str">
        <x:f>IF(G43="","",LEFT(G43,4))</x:f>
      </x:c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  <x:c r="T43" s="14" t="str"/>
      <x:c r="U43" s="14" t="str"/>
      <x:c r="V43" s="14" t="str"/>
      <x:c r="W43" s="14" t="str"/>
      <x:c r="X43" s="14" t="str">
        <x:f>IF(OR(L43="",T43=""),"",L43*T43)</x:f>
      </x:c>
      <x:c r="Y43" s="14" t="str">
        <x:f>IF(X43="","",X43/1000)</x:f>
      </x:c>
      <x:c r="Z43" s="14" t="str"/>
      <x:c r="AA43" s="14" t="str"/>
      <x:c r="AB43" s="14" t="str"/>
      <x:c r="AC43" s="14" t="str"/>
      <x:c r="AD43" s="14" t="str"/>
      <x:c r="AE43" s="14" t="str"/>
      <x:c r="AF43" s="14" t="str"/>
      <x:c r="AG43" s="14" t="str"/>
      <x:c r="AH43" s="14" t="str"/>
      <x:c r="AI43" s="14" t="str"/>
      <x:c r="AJ43" t="str">
        <x:f>IF(A43="","",IF(OR(COUNT(L43)=0,M43="",COUNT(T43)=0,U43="",C43="",F43="",G43="",J43="",COUNT(N43)=0,COUNT(O43)=0,AB43="",AD43="",AE43=""),"BLOCK_MISSING_REQUIRED",IF(L43&lt;0,"BLOCK_NEGATIVE_ACTIVITY",IF(AND(M43&lt;&gt;"L",M43&lt;&gt;"kWh",M43&lt;&gt;"km",M43&lt;&gt;"t"),"BLOCK_UNSUPPORTED_UNIT",IF(OR(AND(M43="L",U43&lt;&gt;"kgCO2e/L"),AND(M43="kWh",U43&lt;&gt;"kgCO2e/kWh"),AND(M43="km",U43&lt;&gt;"kgCO2e/km"),AND(M43="t",U43&lt;&gt;"kgCO2e/t")),"BLOCK_UNIT_MISMATCH",IF(COUNTIF($A$2:$A$101,A43)&gt;1,"BLOCK_DUPLICATE_LEDGER_ID",IF(AN43&lt;&gt;"PASS_UNIQUE_PHYSICAL_TRIP","BLOCK_POSSIBLE_PHYSICAL_DUPLICATE",IF(AND(Z43="simulated",AA43="yes"),"PASS_SIMULATED_ONLY",IF(AND(Z43="actual",AA43&lt;&gt;"yes",W43="factor_verified",AB43&lt;&gt;"",AD43&lt;&gt;"",AE43&lt;&gt;""),"PASS_FORMAL_PRECHECK","REVIEW_DATA_STATUS")))))))))</x:f>
      </x:c>
      <x:c r="AK43" t="str">
        <x:f>IF(AJ43="","",IF(AJ43="BLOCK_MISSING_REQUIRED","缺少活动量/单位/因子/趟次关键字段/证据标识",IF(AJ43="BLOCK_NEGATIVE_ACTIVITY","活动量为负，禁止进入汇总",IF(AJ43="BLOCK_UNSUPPORTED_UNIT","活动单位不在允许单位白名单中",IF(AJ43="BLOCK_UNIT_MISMATCH","活动单位与因子单位不匹配",IF(AJ43="BLOCK_DUPLICATE_LEDGER_ID","台账行ID重复，需复核",IF(AJ43="BLOCK_POSSIBLE_PHYSICAL_DUPLICATE","疑似同一物理趟次/来源行重复，冻结汇总并复核",IF(AJ43="PASS_SIMULATED_ONLY","结构检查通过，但仅供 simulated 测试",IF(AJ43="PASS_FORMAL_PRECHECK","通过结构预检；仍需人工/负责人审批","数据状态需人工复核")))))))))</x:f>
      </x:c>
      <x:c r="AL43" t="str">
        <x:f>IF(A43="","",IF(OR(Z43="simulated",AA43="yes",W43&lt;&gt;"factor_verified",AJ43&lt;&gt;"PASS_FORMAL_PRECHECK",AB43="",AD43="",AE43=""),"NOT_FORMAL_USE","ELIGIBLE_FOR_REVIEW_NOT_APPROVED"))</x:f>
      </x:c>
      <x:c r="AM43" s="12" t="str">
        <x:f>IF(OR(F43="",G43="",J43="",COUNT(L43)=0,M43="",COUNT(N43)=0,COUNT(O43)=0),"",UPPER(F43&amp;"|"&amp;G43&amp;"|"&amp;J43&amp;"|"&amp;TEXT(N43,"0.000")&amp;"|"&amp;TEXT(O43,"0.000")&amp;"|"&amp;TEXT(L43,"0.000")&amp;"|"&amp;M43))</x:f>
      </x:c>
      <x:c r="AN43" s="12" t="str">
        <x:f>IF(A43="","",IF(OR(COUNTIF($C$2:$C$101,C43)&gt;1,AND(AE43&lt;&gt;"",COUNTIF($AE$2:$AE$101,AE43)&gt;1),AND(AM43&lt;&gt;"",COUNTIF($AM$2:$AM$101,AM43)&gt;1)),"BLOCK_POSSIBLE_PHYSICAL_DUPLICATE","PASS_UNIQUE_PHYSICAL_TRIP"))</x:f>
      </x:c>
      <x:c r="AO43" s="12"/>
      <x:c r="AP43" s="12" t="str">
        <x:f>IF(A43="","",IF(AND(Z43="actual",AA43&lt;&gt;"yes",W43="factor_verified",AJ43="PASS_FORMAL_PRECHECK",AN43="PASS_UNIQUE_PHYSICAL_TRIP",AO43="approved",AB43&lt;&gt;"",AD43&lt;&gt;"",AE43&lt;&gt;""),"FORMAL_APPROVED","EXCLUDED_NOT_FORMALLY_APPROVED"))</x:f>
      </x:c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>
        <x:f>IF(G44="","",LEFT(G44,7))</x:f>
      </x:c>
      <x:c r="I44" s="14" t="str">
        <x:f>IF(G44="","",LEFT(G44,4))</x:f>
      </x:c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  <x:c r="T44" s="14" t="str"/>
      <x:c r="U44" s="14" t="str"/>
      <x:c r="V44" s="14" t="str"/>
      <x:c r="W44" s="14" t="str"/>
      <x:c r="X44" s="14" t="str">
        <x:f>IF(OR(L44="",T44=""),"",L44*T44)</x:f>
      </x:c>
      <x:c r="Y44" s="14" t="str">
        <x:f>IF(X44="","",X44/1000)</x:f>
      </x:c>
      <x:c r="Z44" s="14" t="str"/>
      <x:c r="AA44" s="14" t="str"/>
      <x:c r="AB44" s="14" t="str"/>
      <x:c r="AC44" s="14" t="str"/>
      <x:c r="AD44" s="14" t="str"/>
      <x:c r="AE44" s="14" t="str"/>
      <x:c r="AF44" s="14" t="str"/>
      <x:c r="AG44" s="14" t="str"/>
      <x:c r="AH44" s="14" t="str"/>
      <x:c r="AI44" s="14" t="str"/>
      <x:c r="AJ44" t="str">
        <x:f>IF(A44="","",IF(OR(COUNT(L44)=0,M44="",COUNT(T44)=0,U44="",C44="",F44="",G44="",J44="",COUNT(N44)=0,COUNT(O44)=0,AB44="",AD44="",AE44=""),"BLOCK_MISSING_REQUIRED",IF(L44&lt;0,"BLOCK_NEGATIVE_ACTIVITY",IF(AND(M44&lt;&gt;"L",M44&lt;&gt;"kWh",M44&lt;&gt;"km",M44&lt;&gt;"t"),"BLOCK_UNSUPPORTED_UNIT",IF(OR(AND(M44="L",U44&lt;&gt;"kgCO2e/L"),AND(M44="kWh",U44&lt;&gt;"kgCO2e/kWh"),AND(M44="km",U44&lt;&gt;"kgCO2e/km"),AND(M44="t",U44&lt;&gt;"kgCO2e/t")),"BLOCK_UNIT_MISMATCH",IF(COUNTIF($A$2:$A$101,A44)&gt;1,"BLOCK_DUPLICATE_LEDGER_ID",IF(AN44&lt;&gt;"PASS_UNIQUE_PHYSICAL_TRIP","BLOCK_POSSIBLE_PHYSICAL_DUPLICATE",IF(AND(Z44="simulated",AA44="yes"),"PASS_SIMULATED_ONLY",IF(AND(Z44="actual",AA44&lt;&gt;"yes",W44="factor_verified",AB44&lt;&gt;"",AD44&lt;&gt;"",AE44&lt;&gt;""),"PASS_FORMAL_PRECHECK","REVIEW_DATA_STATUS")))))))))</x:f>
      </x:c>
      <x:c r="AK44" t="str">
        <x:f>IF(AJ44="","",IF(AJ44="BLOCK_MISSING_REQUIRED","缺少活动量/单位/因子/趟次关键字段/证据标识",IF(AJ44="BLOCK_NEGATIVE_ACTIVITY","活动量为负，禁止进入汇总",IF(AJ44="BLOCK_UNSUPPORTED_UNIT","活动单位不在允许单位白名单中",IF(AJ44="BLOCK_UNIT_MISMATCH","活动单位与因子单位不匹配",IF(AJ44="BLOCK_DUPLICATE_LEDGER_ID","台账行ID重复，需复核",IF(AJ44="BLOCK_POSSIBLE_PHYSICAL_DUPLICATE","疑似同一物理趟次/来源行重复，冻结汇总并复核",IF(AJ44="PASS_SIMULATED_ONLY","结构检查通过，但仅供 simulated 测试",IF(AJ44="PASS_FORMAL_PRECHECK","通过结构预检；仍需人工/负责人审批","数据状态需人工复核")))))))))</x:f>
      </x:c>
      <x:c r="AL44" t="str">
        <x:f>IF(A44="","",IF(OR(Z44="simulated",AA44="yes",W44&lt;&gt;"factor_verified",AJ44&lt;&gt;"PASS_FORMAL_PRECHECK",AB44="",AD44="",AE44=""),"NOT_FORMAL_USE","ELIGIBLE_FOR_REVIEW_NOT_APPROVED"))</x:f>
      </x:c>
      <x:c r="AM44" s="12" t="str">
        <x:f>IF(OR(F44="",G44="",J44="",COUNT(L44)=0,M44="",COUNT(N44)=0,COUNT(O44)=0),"",UPPER(F44&amp;"|"&amp;G44&amp;"|"&amp;J44&amp;"|"&amp;TEXT(N44,"0.000")&amp;"|"&amp;TEXT(O44,"0.000")&amp;"|"&amp;TEXT(L44,"0.000")&amp;"|"&amp;M44))</x:f>
      </x:c>
      <x:c r="AN44" s="12" t="str">
        <x:f>IF(A44="","",IF(OR(COUNTIF($C$2:$C$101,C44)&gt;1,AND(AE44&lt;&gt;"",COUNTIF($AE$2:$AE$101,AE44)&gt;1),AND(AM44&lt;&gt;"",COUNTIF($AM$2:$AM$101,AM44)&gt;1)),"BLOCK_POSSIBLE_PHYSICAL_DUPLICATE","PASS_UNIQUE_PHYSICAL_TRIP"))</x:f>
      </x:c>
      <x:c r="AO44" s="12"/>
      <x:c r="AP44" s="12" t="str">
        <x:f>IF(A44="","",IF(AND(Z44="actual",AA44&lt;&gt;"yes",W44="factor_verified",AJ44="PASS_FORMAL_PRECHECK",AN44="PASS_UNIQUE_PHYSICAL_TRIP",AO44="approved",AB44&lt;&gt;"",AD44&lt;&gt;"",AE44&lt;&gt;""),"FORMAL_APPROVED","EXCLUDED_NOT_FORMALLY_APPROVED"))</x:f>
      </x:c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>
        <x:f>IF(G45="","",LEFT(G45,7))</x:f>
      </x:c>
      <x:c r="I45" s="14" t="str">
        <x:f>IF(G45="","",LEFT(G45,4))</x:f>
      </x:c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  <x:c r="T45" s="14" t="str"/>
      <x:c r="U45" s="14" t="str"/>
      <x:c r="V45" s="14" t="str"/>
      <x:c r="W45" s="14" t="str"/>
      <x:c r="X45" s="14" t="str">
        <x:f>IF(OR(L45="",T45=""),"",L45*T45)</x:f>
      </x:c>
      <x:c r="Y45" s="14" t="str">
        <x:f>IF(X45="","",X45/1000)</x:f>
      </x:c>
      <x:c r="Z45" s="14" t="str"/>
      <x:c r="AA45" s="14" t="str"/>
      <x:c r="AB45" s="14" t="str"/>
      <x:c r="AC45" s="14" t="str"/>
      <x:c r="AD45" s="14" t="str"/>
      <x:c r="AE45" s="14" t="str"/>
      <x:c r="AF45" s="14" t="str"/>
      <x:c r="AG45" s="14" t="str"/>
      <x:c r="AH45" s="14" t="str"/>
      <x:c r="AI45" s="14" t="str"/>
      <x:c r="AJ45" t="str">
        <x:f>IF(A45="","",IF(OR(COUNT(L45)=0,M45="",COUNT(T45)=0,U45="",C45="",F45="",G45="",J45="",COUNT(N45)=0,COUNT(O45)=0,AB45="",AD45="",AE45=""),"BLOCK_MISSING_REQUIRED",IF(L45&lt;0,"BLOCK_NEGATIVE_ACTIVITY",IF(AND(M45&lt;&gt;"L",M45&lt;&gt;"kWh",M45&lt;&gt;"km",M45&lt;&gt;"t"),"BLOCK_UNSUPPORTED_UNIT",IF(OR(AND(M45="L",U45&lt;&gt;"kgCO2e/L"),AND(M45="kWh",U45&lt;&gt;"kgCO2e/kWh"),AND(M45="km",U45&lt;&gt;"kgCO2e/km"),AND(M45="t",U45&lt;&gt;"kgCO2e/t")),"BLOCK_UNIT_MISMATCH",IF(COUNTIF($A$2:$A$101,A45)&gt;1,"BLOCK_DUPLICATE_LEDGER_ID",IF(AN45&lt;&gt;"PASS_UNIQUE_PHYSICAL_TRIP","BLOCK_POSSIBLE_PHYSICAL_DUPLICATE",IF(AND(Z45="simulated",AA45="yes"),"PASS_SIMULATED_ONLY",IF(AND(Z45="actual",AA45&lt;&gt;"yes",W45="factor_verified",AB45&lt;&gt;"",AD45&lt;&gt;"",AE45&lt;&gt;""),"PASS_FORMAL_PRECHECK","REVIEW_DATA_STATUS")))))))))</x:f>
      </x:c>
      <x:c r="AK45" t="str">
        <x:f>IF(AJ45="","",IF(AJ45="BLOCK_MISSING_REQUIRED","缺少活动量/单位/因子/趟次关键字段/证据标识",IF(AJ45="BLOCK_NEGATIVE_ACTIVITY","活动量为负，禁止进入汇总",IF(AJ45="BLOCK_UNSUPPORTED_UNIT","活动单位不在允许单位白名单中",IF(AJ45="BLOCK_UNIT_MISMATCH","活动单位与因子单位不匹配",IF(AJ45="BLOCK_DUPLICATE_LEDGER_ID","台账行ID重复，需复核",IF(AJ45="BLOCK_POSSIBLE_PHYSICAL_DUPLICATE","疑似同一物理趟次/来源行重复，冻结汇总并复核",IF(AJ45="PASS_SIMULATED_ONLY","结构检查通过，但仅供 simulated 测试",IF(AJ45="PASS_FORMAL_PRECHECK","通过结构预检；仍需人工/负责人审批","数据状态需人工复核")))))))))</x:f>
      </x:c>
      <x:c r="AL45" t="str">
        <x:f>IF(A45="","",IF(OR(Z45="simulated",AA45="yes",W45&lt;&gt;"factor_verified",AJ45&lt;&gt;"PASS_FORMAL_PRECHECK",AB45="",AD45="",AE45=""),"NOT_FORMAL_USE","ELIGIBLE_FOR_REVIEW_NOT_APPROVED"))</x:f>
      </x:c>
      <x:c r="AM45" s="12" t="str">
        <x:f>IF(OR(F45="",G45="",J45="",COUNT(L45)=0,M45="",COUNT(N45)=0,COUNT(O45)=0),"",UPPER(F45&amp;"|"&amp;G45&amp;"|"&amp;J45&amp;"|"&amp;TEXT(N45,"0.000")&amp;"|"&amp;TEXT(O45,"0.000")&amp;"|"&amp;TEXT(L45,"0.000")&amp;"|"&amp;M45))</x:f>
      </x:c>
      <x:c r="AN45" s="12" t="str">
        <x:f>IF(A45="","",IF(OR(COUNTIF($C$2:$C$101,C45)&gt;1,AND(AE45&lt;&gt;"",COUNTIF($AE$2:$AE$101,AE45)&gt;1),AND(AM45&lt;&gt;"",COUNTIF($AM$2:$AM$101,AM45)&gt;1)),"BLOCK_POSSIBLE_PHYSICAL_DUPLICATE","PASS_UNIQUE_PHYSICAL_TRIP"))</x:f>
      </x:c>
      <x:c r="AO45" s="12"/>
      <x:c r="AP45" s="12" t="str">
        <x:f>IF(A45="","",IF(AND(Z45="actual",AA45&lt;&gt;"yes",W45="factor_verified",AJ45="PASS_FORMAL_PRECHECK",AN45="PASS_UNIQUE_PHYSICAL_TRIP",AO45="approved",AB45&lt;&gt;"",AD45&lt;&gt;"",AE45&lt;&gt;""),"FORMAL_APPROVED","EXCLUDED_NOT_FORMALLY_APPROVED"))</x:f>
      </x:c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>
        <x:f>IF(G46="","",LEFT(G46,7))</x:f>
      </x:c>
      <x:c r="I46" s="14" t="str">
        <x:f>IF(G46="","",LEFT(G46,4))</x:f>
      </x:c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  <x:c r="T46" s="14" t="str"/>
      <x:c r="U46" s="14" t="str"/>
      <x:c r="V46" s="14" t="str"/>
      <x:c r="W46" s="14" t="str"/>
      <x:c r="X46" s="14" t="str">
        <x:f>IF(OR(L46="",T46=""),"",L46*T46)</x:f>
      </x:c>
      <x:c r="Y46" s="14" t="str">
        <x:f>IF(X46="","",X46/1000)</x:f>
      </x:c>
      <x:c r="Z46" s="14" t="str"/>
      <x:c r="AA46" s="14" t="str"/>
      <x:c r="AB46" s="14" t="str"/>
      <x:c r="AC46" s="14" t="str"/>
      <x:c r="AD46" s="14" t="str"/>
      <x:c r="AE46" s="14" t="str"/>
      <x:c r="AF46" s="14" t="str"/>
      <x:c r="AG46" s="14" t="str"/>
      <x:c r="AH46" s="14" t="str"/>
      <x:c r="AI46" s="14" t="str"/>
      <x:c r="AJ46" t="str">
        <x:f>IF(A46="","",IF(OR(COUNT(L46)=0,M46="",COUNT(T46)=0,U46="",C46="",F46="",G46="",J46="",COUNT(N46)=0,COUNT(O46)=0,AB46="",AD46="",AE46=""),"BLOCK_MISSING_REQUIRED",IF(L46&lt;0,"BLOCK_NEGATIVE_ACTIVITY",IF(AND(M46&lt;&gt;"L",M46&lt;&gt;"kWh",M46&lt;&gt;"km",M46&lt;&gt;"t"),"BLOCK_UNSUPPORTED_UNIT",IF(OR(AND(M46="L",U46&lt;&gt;"kgCO2e/L"),AND(M46="kWh",U46&lt;&gt;"kgCO2e/kWh"),AND(M46="km",U46&lt;&gt;"kgCO2e/km"),AND(M46="t",U46&lt;&gt;"kgCO2e/t")),"BLOCK_UNIT_MISMATCH",IF(COUNTIF($A$2:$A$101,A46)&gt;1,"BLOCK_DUPLICATE_LEDGER_ID",IF(AN46&lt;&gt;"PASS_UNIQUE_PHYSICAL_TRIP","BLOCK_POSSIBLE_PHYSICAL_DUPLICATE",IF(AND(Z46="simulated",AA46="yes"),"PASS_SIMULATED_ONLY",IF(AND(Z46="actual",AA46&lt;&gt;"yes",W46="factor_verified",AB46&lt;&gt;"",AD46&lt;&gt;"",AE46&lt;&gt;""),"PASS_FORMAL_PRECHECK","REVIEW_DATA_STATUS")))))))))</x:f>
      </x:c>
      <x:c r="AK46" t="str">
        <x:f>IF(AJ46="","",IF(AJ46="BLOCK_MISSING_REQUIRED","缺少活动量/单位/因子/趟次关键字段/证据标识",IF(AJ46="BLOCK_NEGATIVE_ACTIVITY","活动量为负，禁止进入汇总",IF(AJ46="BLOCK_UNSUPPORTED_UNIT","活动单位不在允许单位白名单中",IF(AJ46="BLOCK_UNIT_MISMATCH","活动单位与因子单位不匹配",IF(AJ46="BLOCK_DUPLICATE_LEDGER_ID","台账行ID重复，需复核",IF(AJ46="BLOCK_POSSIBLE_PHYSICAL_DUPLICATE","疑似同一物理趟次/来源行重复，冻结汇总并复核",IF(AJ46="PASS_SIMULATED_ONLY","结构检查通过，但仅供 simulated 测试",IF(AJ46="PASS_FORMAL_PRECHECK","通过结构预检；仍需人工/负责人审批","数据状态需人工复核")))))))))</x:f>
      </x:c>
      <x:c r="AL46" t="str">
        <x:f>IF(A46="","",IF(OR(Z46="simulated",AA46="yes",W46&lt;&gt;"factor_verified",AJ46&lt;&gt;"PASS_FORMAL_PRECHECK",AB46="",AD46="",AE46=""),"NOT_FORMAL_USE","ELIGIBLE_FOR_REVIEW_NOT_APPROVED"))</x:f>
      </x:c>
      <x:c r="AM46" s="12" t="str">
        <x:f>IF(OR(F46="",G46="",J46="",COUNT(L46)=0,M46="",COUNT(N46)=0,COUNT(O46)=0),"",UPPER(F46&amp;"|"&amp;G46&amp;"|"&amp;J46&amp;"|"&amp;TEXT(N46,"0.000")&amp;"|"&amp;TEXT(O46,"0.000")&amp;"|"&amp;TEXT(L46,"0.000")&amp;"|"&amp;M46))</x:f>
      </x:c>
      <x:c r="AN46" s="12" t="str">
        <x:f>IF(A46="","",IF(OR(COUNTIF($C$2:$C$101,C46)&gt;1,AND(AE46&lt;&gt;"",COUNTIF($AE$2:$AE$101,AE46)&gt;1),AND(AM46&lt;&gt;"",COUNTIF($AM$2:$AM$101,AM46)&gt;1)),"BLOCK_POSSIBLE_PHYSICAL_DUPLICATE","PASS_UNIQUE_PHYSICAL_TRIP"))</x:f>
      </x:c>
      <x:c r="AO46" s="12"/>
      <x:c r="AP46" s="12" t="str">
        <x:f>IF(A46="","",IF(AND(Z46="actual",AA46&lt;&gt;"yes",W46="factor_verified",AJ46="PASS_FORMAL_PRECHECK",AN46="PASS_UNIQUE_PHYSICAL_TRIP",AO46="approved",AB46&lt;&gt;"",AD46&lt;&gt;"",AE46&lt;&gt;""),"FORMAL_APPROVED","EXCLUDED_NOT_FORMALLY_APPROVED"))</x:f>
      </x:c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>
        <x:f>IF(G47="","",LEFT(G47,7))</x:f>
      </x:c>
      <x:c r="I47" s="14" t="str">
        <x:f>IF(G47="","",LEFT(G47,4))</x:f>
      </x:c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  <x:c r="T47" s="14" t="str"/>
      <x:c r="U47" s="14" t="str"/>
      <x:c r="V47" s="14" t="str"/>
      <x:c r="W47" s="14" t="str"/>
      <x:c r="X47" s="14" t="str">
        <x:f>IF(OR(L47="",T47=""),"",L47*T47)</x:f>
      </x:c>
      <x:c r="Y47" s="14" t="str">
        <x:f>IF(X47="","",X47/1000)</x:f>
      </x:c>
      <x:c r="Z47" s="14" t="str"/>
      <x:c r="AA47" s="14" t="str"/>
      <x:c r="AB47" s="14" t="str"/>
      <x:c r="AC47" s="14" t="str"/>
      <x:c r="AD47" s="14" t="str"/>
      <x:c r="AE47" s="14" t="str"/>
      <x:c r="AF47" s="14" t="str"/>
      <x:c r="AG47" s="14" t="str"/>
      <x:c r="AH47" s="14" t="str"/>
      <x:c r="AI47" s="14" t="str"/>
      <x:c r="AJ47" t="str">
        <x:f>IF(A47="","",IF(OR(COUNT(L47)=0,M47="",COUNT(T47)=0,U47="",C47="",F47="",G47="",J47="",COUNT(N47)=0,COUNT(O47)=0,AB47="",AD47="",AE47=""),"BLOCK_MISSING_REQUIRED",IF(L47&lt;0,"BLOCK_NEGATIVE_ACTIVITY",IF(AND(M47&lt;&gt;"L",M47&lt;&gt;"kWh",M47&lt;&gt;"km",M47&lt;&gt;"t"),"BLOCK_UNSUPPORTED_UNIT",IF(OR(AND(M47="L",U47&lt;&gt;"kgCO2e/L"),AND(M47="kWh",U47&lt;&gt;"kgCO2e/kWh"),AND(M47="km",U47&lt;&gt;"kgCO2e/km"),AND(M47="t",U47&lt;&gt;"kgCO2e/t")),"BLOCK_UNIT_MISMATCH",IF(COUNTIF($A$2:$A$101,A47)&gt;1,"BLOCK_DUPLICATE_LEDGER_ID",IF(AN47&lt;&gt;"PASS_UNIQUE_PHYSICAL_TRIP","BLOCK_POSSIBLE_PHYSICAL_DUPLICATE",IF(AND(Z47="simulated",AA47="yes"),"PASS_SIMULATED_ONLY",IF(AND(Z47="actual",AA47&lt;&gt;"yes",W47="factor_verified",AB47&lt;&gt;"",AD47&lt;&gt;"",AE47&lt;&gt;""),"PASS_FORMAL_PRECHECK","REVIEW_DATA_STATUS")))))))))</x:f>
      </x:c>
      <x:c r="AK47" t="str">
        <x:f>IF(AJ47="","",IF(AJ47="BLOCK_MISSING_REQUIRED","缺少活动量/单位/因子/趟次关键字段/证据标识",IF(AJ47="BLOCK_NEGATIVE_ACTIVITY","活动量为负，禁止进入汇总",IF(AJ47="BLOCK_UNSUPPORTED_UNIT","活动单位不在允许单位白名单中",IF(AJ47="BLOCK_UNIT_MISMATCH","活动单位与因子单位不匹配",IF(AJ47="BLOCK_DUPLICATE_LEDGER_ID","台账行ID重复，需复核",IF(AJ47="BLOCK_POSSIBLE_PHYSICAL_DUPLICATE","疑似同一物理趟次/来源行重复，冻结汇总并复核",IF(AJ47="PASS_SIMULATED_ONLY","结构检查通过，但仅供 simulated 测试",IF(AJ47="PASS_FORMAL_PRECHECK","通过结构预检；仍需人工/负责人审批","数据状态需人工复核")))))))))</x:f>
      </x:c>
      <x:c r="AL47" t="str">
        <x:f>IF(A47="","",IF(OR(Z47="simulated",AA47="yes",W47&lt;&gt;"factor_verified",AJ47&lt;&gt;"PASS_FORMAL_PRECHECK",AB47="",AD47="",AE47=""),"NOT_FORMAL_USE","ELIGIBLE_FOR_REVIEW_NOT_APPROVED"))</x:f>
      </x:c>
      <x:c r="AM47" s="12" t="str">
        <x:f>IF(OR(F47="",G47="",J47="",COUNT(L47)=0,M47="",COUNT(N47)=0,COUNT(O47)=0),"",UPPER(F47&amp;"|"&amp;G47&amp;"|"&amp;J47&amp;"|"&amp;TEXT(N47,"0.000")&amp;"|"&amp;TEXT(O47,"0.000")&amp;"|"&amp;TEXT(L47,"0.000")&amp;"|"&amp;M47))</x:f>
      </x:c>
      <x:c r="AN47" s="12" t="str">
        <x:f>IF(A47="","",IF(OR(COUNTIF($C$2:$C$101,C47)&gt;1,AND(AE47&lt;&gt;"",COUNTIF($AE$2:$AE$101,AE47)&gt;1),AND(AM47&lt;&gt;"",COUNTIF($AM$2:$AM$101,AM47)&gt;1)),"BLOCK_POSSIBLE_PHYSICAL_DUPLICATE","PASS_UNIQUE_PHYSICAL_TRIP"))</x:f>
      </x:c>
      <x:c r="AO47" s="12"/>
      <x:c r="AP47" s="12" t="str">
        <x:f>IF(A47="","",IF(AND(Z47="actual",AA47&lt;&gt;"yes",W47="factor_verified",AJ47="PASS_FORMAL_PRECHECK",AN47="PASS_UNIQUE_PHYSICAL_TRIP",AO47="approved",AB47&lt;&gt;"",AD47&lt;&gt;"",AE47&lt;&gt;""),"FORMAL_APPROVED","EXCLUDED_NOT_FORMALLY_APPROVED"))</x:f>
      </x:c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>
        <x:f>IF(G48="","",LEFT(G48,7))</x:f>
      </x:c>
      <x:c r="I48" s="14" t="str">
        <x:f>IF(G48="","",LEFT(G48,4))</x:f>
      </x:c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  <x:c r="T48" s="14" t="str"/>
      <x:c r="U48" s="14" t="str"/>
      <x:c r="V48" s="14" t="str"/>
      <x:c r="W48" s="14" t="str"/>
      <x:c r="X48" s="14" t="str">
        <x:f>IF(OR(L48="",T48=""),"",L48*T48)</x:f>
      </x:c>
      <x:c r="Y48" s="14" t="str">
        <x:f>IF(X48="","",X48/1000)</x:f>
      </x:c>
      <x:c r="Z48" s="14" t="str"/>
      <x:c r="AA48" s="14" t="str"/>
      <x:c r="AB48" s="14" t="str"/>
      <x:c r="AC48" s="14" t="str"/>
      <x:c r="AD48" s="14" t="str"/>
      <x:c r="AE48" s="14" t="str"/>
      <x:c r="AF48" s="14" t="str"/>
      <x:c r="AG48" s="14" t="str"/>
      <x:c r="AH48" s="14" t="str"/>
      <x:c r="AI48" s="14" t="str"/>
      <x:c r="AJ48" t="str">
        <x:f>IF(A48="","",IF(OR(COUNT(L48)=0,M48="",COUNT(T48)=0,U48="",C48="",F48="",G48="",J48="",COUNT(N48)=0,COUNT(O48)=0,AB48="",AD48="",AE48=""),"BLOCK_MISSING_REQUIRED",IF(L48&lt;0,"BLOCK_NEGATIVE_ACTIVITY",IF(AND(M48&lt;&gt;"L",M48&lt;&gt;"kWh",M48&lt;&gt;"km",M48&lt;&gt;"t"),"BLOCK_UNSUPPORTED_UNIT",IF(OR(AND(M48="L",U48&lt;&gt;"kgCO2e/L"),AND(M48="kWh",U48&lt;&gt;"kgCO2e/kWh"),AND(M48="km",U48&lt;&gt;"kgCO2e/km"),AND(M48="t",U48&lt;&gt;"kgCO2e/t")),"BLOCK_UNIT_MISMATCH",IF(COUNTIF($A$2:$A$101,A48)&gt;1,"BLOCK_DUPLICATE_LEDGER_ID",IF(AN48&lt;&gt;"PASS_UNIQUE_PHYSICAL_TRIP","BLOCK_POSSIBLE_PHYSICAL_DUPLICATE",IF(AND(Z48="simulated",AA48="yes"),"PASS_SIMULATED_ONLY",IF(AND(Z48="actual",AA48&lt;&gt;"yes",W48="factor_verified",AB48&lt;&gt;"",AD48&lt;&gt;"",AE48&lt;&gt;""),"PASS_FORMAL_PRECHECK","REVIEW_DATA_STATUS")))))))))</x:f>
      </x:c>
      <x:c r="AK48" t="str">
        <x:f>IF(AJ48="","",IF(AJ48="BLOCK_MISSING_REQUIRED","缺少活动量/单位/因子/趟次关键字段/证据标识",IF(AJ48="BLOCK_NEGATIVE_ACTIVITY","活动量为负，禁止进入汇总",IF(AJ48="BLOCK_UNSUPPORTED_UNIT","活动单位不在允许单位白名单中",IF(AJ48="BLOCK_UNIT_MISMATCH","活动单位与因子单位不匹配",IF(AJ48="BLOCK_DUPLICATE_LEDGER_ID","台账行ID重复，需复核",IF(AJ48="BLOCK_POSSIBLE_PHYSICAL_DUPLICATE","疑似同一物理趟次/来源行重复，冻结汇总并复核",IF(AJ48="PASS_SIMULATED_ONLY","结构检查通过，但仅供 simulated 测试",IF(AJ48="PASS_FORMAL_PRECHECK","通过结构预检；仍需人工/负责人审批","数据状态需人工复核")))))))))</x:f>
      </x:c>
      <x:c r="AL48" t="str">
        <x:f>IF(A48="","",IF(OR(Z48="simulated",AA48="yes",W48&lt;&gt;"factor_verified",AJ48&lt;&gt;"PASS_FORMAL_PRECHECK",AB48="",AD48="",AE48=""),"NOT_FORMAL_USE","ELIGIBLE_FOR_REVIEW_NOT_APPROVED"))</x:f>
      </x:c>
      <x:c r="AM48" s="12" t="str">
        <x:f>IF(OR(F48="",G48="",J48="",COUNT(L48)=0,M48="",COUNT(N48)=0,COUNT(O48)=0),"",UPPER(F48&amp;"|"&amp;G48&amp;"|"&amp;J48&amp;"|"&amp;TEXT(N48,"0.000")&amp;"|"&amp;TEXT(O48,"0.000")&amp;"|"&amp;TEXT(L48,"0.000")&amp;"|"&amp;M48))</x:f>
      </x:c>
      <x:c r="AN48" s="12" t="str">
        <x:f>IF(A48="","",IF(OR(COUNTIF($C$2:$C$101,C48)&gt;1,AND(AE48&lt;&gt;"",COUNTIF($AE$2:$AE$101,AE48)&gt;1),AND(AM48&lt;&gt;"",COUNTIF($AM$2:$AM$101,AM48)&gt;1)),"BLOCK_POSSIBLE_PHYSICAL_DUPLICATE","PASS_UNIQUE_PHYSICAL_TRIP"))</x:f>
      </x:c>
      <x:c r="AO48" s="12"/>
      <x:c r="AP48" s="12" t="str">
        <x:f>IF(A48="","",IF(AND(Z48="actual",AA48&lt;&gt;"yes",W48="factor_verified",AJ48="PASS_FORMAL_PRECHECK",AN48="PASS_UNIQUE_PHYSICAL_TRIP",AO48="approved",AB48&lt;&gt;"",AD48&lt;&gt;"",AE48&lt;&gt;""),"FORMAL_APPROVED","EXCLUDED_NOT_FORMALLY_APPROVED"))</x:f>
      </x:c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>
        <x:f>IF(G49="","",LEFT(G49,7))</x:f>
      </x:c>
      <x:c r="I49" s="14" t="str">
        <x:f>IF(G49="","",LEFT(G49,4))</x:f>
      </x:c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str"/>
      <x:c r="T49" s="14" t="str"/>
      <x:c r="U49" s="14" t="str"/>
      <x:c r="V49" s="14" t="str"/>
      <x:c r="W49" s="14" t="str"/>
      <x:c r="X49" s="14" t="str">
        <x:f>IF(OR(L49="",T49=""),"",L49*T49)</x:f>
      </x:c>
      <x:c r="Y49" s="14" t="str">
        <x:f>IF(X49="","",X49/1000)</x:f>
      </x:c>
      <x:c r="Z49" s="14" t="str"/>
      <x:c r="AA49" s="14" t="str"/>
      <x:c r="AB49" s="14" t="str"/>
      <x:c r="AC49" s="14" t="str"/>
      <x:c r="AD49" s="14" t="str"/>
      <x:c r="AE49" s="14" t="str"/>
      <x:c r="AF49" s="14" t="str"/>
      <x:c r="AG49" s="14" t="str"/>
      <x:c r="AH49" s="14" t="str"/>
      <x:c r="AI49" s="14" t="str"/>
      <x:c r="AJ49" t="str">
        <x:f>IF(A49="","",IF(OR(COUNT(L49)=0,M49="",COUNT(T49)=0,U49="",C49="",F49="",G49="",J49="",COUNT(N49)=0,COUNT(O49)=0,AB49="",AD49="",AE49=""),"BLOCK_MISSING_REQUIRED",IF(L49&lt;0,"BLOCK_NEGATIVE_ACTIVITY",IF(AND(M49&lt;&gt;"L",M49&lt;&gt;"kWh",M49&lt;&gt;"km",M49&lt;&gt;"t"),"BLOCK_UNSUPPORTED_UNIT",IF(OR(AND(M49="L",U49&lt;&gt;"kgCO2e/L"),AND(M49="kWh",U49&lt;&gt;"kgCO2e/kWh"),AND(M49="km",U49&lt;&gt;"kgCO2e/km"),AND(M49="t",U49&lt;&gt;"kgCO2e/t")),"BLOCK_UNIT_MISMATCH",IF(COUNTIF($A$2:$A$101,A49)&gt;1,"BLOCK_DUPLICATE_LEDGER_ID",IF(AN49&lt;&gt;"PASS_UNIQUE_PHYSICAL_TRIP","BLOCK_POSSIBLE_PHYSICAL_DUPLICATE",IF(AND(Z49="simulated",AA49="yes"),"PASS_SIMULATED_ONLY",IF(AND(Z49="actual",AA49&lt;&gt;"yes",W49="factor_verified",AB49&lt;&gt;"",AD49&lt;&gt;"",AE49&lt;&gt;""),"PASS_FORMAL_PRECHECK","REVIEW_DATA_STATUS")))))))))</x:f>
      </x:c>
      <x:c r="AK49" t="str">
        <x:f>IF(AJ49="","",IF(AJ49="BLOCK_MISSING_REQUIRED","缺少活动量/单位/因子/趟次关键字段/证据标识",IF(AJ49="BLOCK_NEGATIVE_ACTIVITY","活动量为负，禁止进入汇总",IF(AJ49="BLOCK_UNSUPPORTED_UNIT","活动单位不在允许单位白名单中",IF(AJ49="BLOCK_UNIT_MISMATCH","活动单位与因子单位不匹配",IF(AJ49="BLOCK_DUPLICATE_LEDGER_ID","台账行ID重复，需复核",IF(AJ49="BLOCK_POSSIBLE_PHYSICAL_DUPLICATE","疑似同一物理趟次/来源行重复，冻结汇总并复核",IF(AJ49="PASS_SIMULATED_ONLY","结构检查通过，但仅供 simulated 测试",IF(AJ49="PASS_FORMAL_PRECHECK","通过结构预检；仍需人工/负责人审批","数据状态需人工复核")))))))))</x:f>
      </x:c>
      <x:c r="AL49" t="str">
        <x:f>IF(A49="","",IF(OR(Z49="simulated",AA49="yes",W49&lt;&gt;"factor_verified",AJ49&lt;&gt;"PASS_FORMAL_PRECHECK",AB49="",AD49="",AE49=""),"NOT_FORMAL_USE","ELIGIBLE_FOR_REVIEW_NOT_APPROVED"))</x:f>
      </x:c>
      <x:c r="AM49" s="12" t="str">
        <x:f>IF(OR(F49="",G49="",J49="",COUNT(L49)=0,M49="",COUNT(N49)=0,COUNT(O49)=0),"",UPPER(F49&amp;"|"&amp;G49&amp;"|"&amp;J49&amp;"|"&amp;TEXT(N49,"0.000")&amp;"|"&amp;TEXT(O49,"0.000")&amp;"|"&amp;TEXT(L49,"0.000")&amp;"|"&amp;M49))</x:f>
      </x:c>
      <x:c r="AN49" s="12" t="str">
        <x:f>IF(A49="","",IF(OR(COUNTIF($C$2:$C$101,C49)&gt;1,AND(AE49&lt;&gt;"",COUNTIF($AE$2:$AE$101,AE49)&gt;1),AND(AM49&lt;&gt;"",COUNTIF($AM$2:$AM$101,AM49)&gt;1)),"BLOCK_POSSIBLE_PHYSICAL_DUPLICATE","PASS_UNIQUE_PHYSICAL_TRIP"))</x:f>
      </x:c>
      <x:c r="AO49" s="12"/>
      <x:c r="AP49" s="12" t="str">
        <x:f>IF(A49="","",IF(AND(Z49="actual",AA49&lt;&gt;"yes",W49="factor_verified",AJ49="PASS_FORMAL_PRECHECK",AN49="PASS_UNIQUE_PHYSICAL_TRIP",AO49="approved",AB49&lt;&gt;"",AD49&lt;&gt;"",AE49&lt;&gt;""),"FORMAL_APPROVED","EXCLUDED_NOT_FORMALLY_APPROVED"))</x:f>
      </x:c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>
        <x:f>IF(G50="","",LEFT(G50,7))</x:f>
      </x:c>
      <x:c r="I50" s="14" t="str">
        <x:f>IF(G50="","",LEFT(G50,4))</x:f>
      </x:c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  <x:c r="T50" s="14" t="str"/>
      <x:c r="U50" s="14" t="str"/>
      <x:c r="V50" s="14" t="str"/>
      <x:c r="W50" s="14" t="str"/>
      <x:c r="X50" s="14" t="str">
        <x:f>IF(OR(L50="",T50=""),"",L50*T50)</x:f>
      </x:c>
      <x:c r="Y50" s="14" t="str">
        <x:f>IF(X50="","",X50/1000)</x:f>
      </x:c>
      <x:c r="Z50" s="14" t="str"/>
      <x:c r="AA50" s="14" t="str"/>
      <x:c r="AB50" s="14" t="str"/>
      <x:c r="AC50" s="14" t="str"/>
      <x:c r="AD50" s="14" t="str"/>
      <x:c r="AE50" s="14" t="str"/>
      <x:c r="AF50" s="14" t="str"/>
      <x:c r="AG50" s="14" t="str"/>
      <x:c r="AH50" s="14" t="str"/>
      <x:c r="AI50" s="14" t="str"/>
      <x:c r="AJ50" t="str">
        <x:f>IF(A50="","",IF(OR(COUNT(L50)=0,M50="",COUNT(T50)=0,U50="",C50="",F50="",G50="",J50="",COUNT(N50)=0,COUNT(O50)=0,AB50="",AD50="",AE50=""),"BLOCK_MISSING_REQUIRED",IF(L50&lt;0,"BLOCK_NEGATIVE_ACTIVITY",IF(AND(M50&lt;&gt;"L",M50&lt;&gt;"kWh",M50&lt;&gt;"km",M50&lt;&gt;"t"),"BLOCK_UNSUPPORTED_UNIT",IF(OR(AND(M50="L",U50&lt;&gt;"kgCO2e/L"),AND(M50="kWh",U50&lt;&gt;"kgCO2e/kWh"),AND(M50="km",U50&lt;&gt;"kgCO2e/km"),AND(M50="t",U50&lt;&gt;"kgCO2e/t")),"BLOCK_UNIT_MISMATCH",IF(COUNTIF($A$2:$A$101,A50)&gt;1,"BLOCK_DUPLICATE_LEDGER_ID",IF(AN50&lt;&gt;"PASS_UNIQUE_PHYSICAL_TRIP","BLOCK_POSSIBLE_PHYSICAL_DUPLICATE",IF(AND(Z50="simulated",AA50="yes"),"PASS_SIMULATED_ONLY",IF(AND(Z50="actual",AA50&lt;&gt;"yes",W50="factor_verified",AB50&lt;&gt;"",AD50&lt;&gt;"",AE50&lt;&gt;""),"PASS_FORMAL_PRECHECK","REVIEW_DATA_STATUS")))))))))</x:f>
      </x:c>
      <x:c r="AK50" t="str">
        <x:f>IF(AJ50="","",IF(AJ50="BLOCK_MISSING_REQUIRED","缺少活动量/单位/因子/趟次关键字段/证据标识",IF(AJ50="BLOCK_NEGATIVE_ACTIVITY","活动量为负，禁止进入汇总",IF(AJ50="BLOCK_UNSUPPORTED_UNIT","活动单位不在允许单位白名单中",IF(AJ50="BLOCK_UNIT_MISMATCH","活动单位与因子单位不匹配",IF(AJ50="BLOCK_DUPLICATE_LEDGER_ID","台账行ID重复，需复核",IF(AJ50="BLOCK_POSSIBLE_PHYSICAL_DUPLICATE","疑似同一物理趟次/来源行重复，冻结汇总并复核",IF(AJ50="PASS_SIMULATED_ONLY","结构检查通过，但仅供 simulated 测试",IF(AJ50="PASS_FORMAL_PRECHECK","通过结构预检；仍需人工/负责人审批","数据状态需人工复核")))))))))</x:f>
      </x:c>
      <x:c r="AL50" t="str">
        <x:f>IF(A50="","",IF(OR(Z50="simulated",AA50="yes",W50&lt;&gt;"factor_verified",AJ50&lt;&gt;"PASS_FORMAL_PRECHECK",AB50="",AD50="",AE50=""),"NOT_FORMAL_USE","ELIGIBLE_FOR_REVIEW_NOT_APPROVED"))</x:f>
      </x:c>
      <x:c r="AM50" s="12" t="str">
        <x:f>IF(OR(F50="",G50="",J50="",COUNT(L50)=0,M50="",COUNT(N50)=0,COUNT(O50)=0),"",UPPER(F50&amp;"|"&amp;G50&amp;"|"&amp;J50&amp;"|"&amp;TEXT(N50,"0.000")&amp;"|"&amp;TEXT(O50,"0.000")&amp;"|"&amp;TEXT(L50,"0.000")&amp;"|"&amp;M50))</x:f>
      </x:c>
      <x:c r="AN50" s="12" t="str">
        <x:f>IF(A50="","",IF(OR(COUNTIF($C$2:$C$101,C50)&gt;1,AND(AE50&lt;&gt;"",COUNTIF($AE$2:$AE$101,AE50)&gt;1),AND(AM50&lt;&gt;"",COUNTIF($AM$2:$AM$101,AM50)&gt;1)),"BLOCK_POSSIBLE_PHYSICAL_DUPLICATE","PASS_UNIQUE_PHYSICAL_TRIP"))</x:f>
      </x:c>
      <x:c r="AO50" s="12"/>
      <x:c r="AP50" s="12" t="str">
        <x:f>IF(A50="","",IF(AND(Z50="actual",AA50&lt;&gt;"yes",W50="factor_verified",AJ50="PASS_FORMAL_PRECHECK",AN50="PASS_UNIQUE_PHYSICAL_TRIP",AO50="approved",AB50&lt;&gt;"",AD50&lt;&gt;"",AE50&lt;&gt;""),"FORMAL_APPROVED","EXCLUDED_NOT_FORMALLY_APPROVED"))</x:f>
      </x:c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>
        <x:f>IF(G51="","",LEFT(G51,7))</x:f>
      </x:c>
      <x:c r="I51" s="14" t="str">
        <x:f>IF(G51="","",LEFT(G51,4))</x:f>
      </x:c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  <x:c r="T51" s="14" t="str"/>
      <x:c r="U51" s="14" t="str"/>
      <x:c r="V51" s="14" t="str"/>
      <x:c r="W51" s="14" t="str"/>
      <x:c r="X51" s="14" t="str">
        <x:f>IF(OR(L51="",T51=""),"",L51*T51)</x:f>
      </x:c>
      <x:c r="Y51" s="14" t="str">
        <x:f>IF(X51="","",X51/1000)</x:f>
      </x:c>
      <x:c r="Z51" s="14" t="str"/>
      <x:c r="AA51" s="14" t="str"/>
      <x:c r="AB51" s="14" t="str"/>
      <x:c r="AC51" s="14" t="str"/>
      <x:c r="AD51" s="14" t="str"/>
      <x:c r="AE51" s="14" t="str"/>
      <x:c r="AF51" s="14" t="str"/>
      <x:c r="AG51" s="14" t="str"/>
      <x:c r="AH51" s="14" t="str"/>
      <x:c r="AI51" s="14" t="str"/>
      <x:c r="AJ51" t="str">
        <x:f>IF(A51="","",IF(OR(COUNT(L51)=0,M51="",COUNT(T51)=0,U51="",C51="",F51="",G51="",J51="",COUNT(N51)=0,COUNT(O51)=0,AB51="",AD51="",AE51=""),"BLOCK_MISSING_REQUIRED",IF(L51&lt;0,"BLOCK_NEGATIVE_ACTIVITY",IF(AND(M51&lt;&gt;"L",M51&lt;&gt;"kWh",M51&lt;&gt;"km",M51&lt;&gt;"t"),"BLOCK_UNSUPPORTED_UNIT",IF(OR(AND(M51="L",U51&lt;&gt;"kgCO2e/L"),AND(M51="kWh",U51&lt;&gt;"kgCO2e/kWh"),AND(M51="km",U51&lt;&gt;"kgCO2e/km"),AND(M51="t",U51&lt;&gt;"kgCO2e/t")),"BLOCK_UNIT_MISMATCH",IF(COUNTIF($A$2:$A$101,A51)&gt;1,"BLOCK_DUPLICATE_LEDGER_ID",IF(AN51&lt;&gt;"PASS_UNIQUE_PHYSICAL_TRIP","BLOCK_POSSIBLE_PHYSICAL_DUPLICATE",IF(AND(Z51="simulated",AA51="yes"),"PASS_SIMULATED_ONLY",IF(AND(Z51="actual",AA51&lt;&gt;"yes",W51="factor_verified",AB51&lt;&gt;"",AD51&lt;&gt;"",AE51&lt;&gt;""),"PASS_FORMAL_PRECHECK","REVIEW_DATA_STATUS")))))))))</x:f>
      </x:c>
      <x:c r="AK51" t="str">
        <x:f>IF(AJ51="","",IF(AJ51="BLOCK_MISSING_REQUIRED","缺少活动量/单位/因子/趟次关键字段/证据标识",IF(AJ51="BLOCK_NEGATIVE_ACTIVITY","活动量为负，禁止进入汇总",IF(AJ51="BLOCK_UNSUPPORTED_UNIT","活动单位不在允许单位白名单中",IF(AJ51="BLOCK_UNIT_MISMATCH","活动单位与因子单位不匹配",IF(AJ51="BLOCK_DUPLICATE_LEDGER_ID","台账行ID重复，需复核",IF(AJ51="BLOCK_POSSIBLE_PHYSICAL_DUPLICATE","疑似同一物理趟次/来源行重复，冻结汇总并复核",IF(AJ51="PASS_SIMULATED_ONLY","结构检查通过，但仅供 simulated 测试",IF(AJ51="PASS_FORMAL_PRECHECK","通过结构预检；仍需人工/负责人审批","数据状态需人工复核")))))))))</x:f>
      </x:c>
      <x:c r="AL51" t="str">
        <x:f>IF(A51="","",IF(OR(Z51="simulated",AA51="yes",W51&lt;&gt;"factor_verified",AJ51&lt;&gt;"PASS_FORMAL_PRECHECK",AB51="",AD51="",AE51=""),"NOT_FORMAL_USE","ELIGIBLE_FOR_REVIEW_NOT_APPROVED"))</x:f>
      </x:c>
      <x:c r="AM51" s="12" t="str">
        <x:f>IF(OR(F51="",G51="",J51="",COUNT(L51)=0,M51="",COUNT(N51)=0,COUNT(O51)=0),"",UPPER(F51&amp;"|"&amp;G51&amp;"|"&amp;J51&amp;"|"&amp;TEXT(N51,"0.000")&amp;"|"&amp;TEXT(O51,"0.000")&amp;"|"&amp;TEXT(L51,"0.000")&amp;"|"&amp;M51))</x:f>
      </x:c>
      <x:c r="AN51" s="12" t="str">
        <x:f>IF(A51="","",IF(OR(COUNTIF($C$2:$C$101,C51)&gt;1,AND(AE51&lt;&gt;"",COUNTIF($AE$2:$AE$101,AE51)&gt;1),AND(AM51&lt;&gt;"",COUNTIF($AM$2:$AM$101,AM51)&gt;1)),"BLOCK_POSSIBLE_PHYSICAL_DUPLICATE","PASS_UNIQUE_PHYSICAL_TRIP"))</x:f>
      </x:c>
      <x:c r="AO51" s="12"/>
      <x:c r="AP51" s="12" t="str">
        <x:f>IF(A51="","",IF(AND(Z51="actual",AA51&lt;&gt;"yes",W51="factor_verified",AJ51="PASS_FORMAL_PRECHECK",AN51="PASS_UNIQUE_PHYSICAL_TRIP",AO51="approved",AB51&lt;&gt;"",AD51&lt;&gt;"",AE51&lt;&gt;""),"FORMAL_APPROVED","EXCLUDED_NOT_FORMALLY_APPROVED"))</x:f>
      </x:c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>
        <x:f>IF(G52="","",LEFT(G52,7))</x:f>
      </x:c>
      <x:c r="I52" s="14" t="str">
        <x:f>IF(G52="","",LEFT(G52,4))</x:f>
      </x:c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  <x:c r="T52" s="14" t="str"/>
      <x:c r="U52" s="14" t="str"/>
      <x:c r="V52" s="14" t="str"/>
      <x:c r="W52" s="14" t="str"/>
      <x:c r="X52" s="14" t="str">
        <x:f>IF(OR(L52="",T52=""),"",L52*T52)</x:f>
      </x:c>
      <x:c r="Y52" s="14" t="str">
        <x:f>IF(X52="","",X52/1000)</x:f>
      </x:c>
      <x:c r="Z52" s="14" t="str"/>
      <x:c r="AA52" s="14" t="str"/>
      <x:c r="AB52" s="14" t="str"/>
      <x:c r="AC52" s="14" t="str"/>
      <x:c r="AD52" s="14" t="str"/>
      <x:c r="AE52" s="14" t="str"/>
      <x:c r="AF52" s="14" t="str"/>
      <x:c r="AG52" s="14" t="str"/>
      <x:c r="AH52" s="14" t="str"/>
      <x:c r="AI52" s="14" t="str"/>
      <x:c r="AJ52" t="str">
        <x:f>IF(A52="","",IF(OR(COUNT(L52)=0,M52="",COUNT(T52)=0,U52="",C52="",F52="",G52="",J52="",COUNT(N52)=0,COUNT(O52)=0,AB52="",AD52="",AE52=""),"BLOCK_MISSING_REQUIRED",IF(L52&lt;0,"BLOCK_NEGATIVE_ACTIVITY",IF(AND(M52&lt;&gt;"L",M52&lt;&gt;"kWh",M52&lt;&gt;"km",M52&lt;&gt;"t"),"BLOCK_UNSUPPORTED_UNIT",IF(OR(AND(M52="L",U52&lt;&gt;"kgCO2e/L"),AND(M52="kWh",U52&lt;&gt;"kgCO2e/kWh"),AND(M52="km",U52&lt;&gt;"kgCO2e/km"),AND(M52="t",U52&lt;&gt;"kgCO2e/t")),"BLOCK_UNIT_MISMATCH",IF(COUNTIF($A$2:$A$101,A52)&gt;1,"BLOCK_DUPLICATE_LEDGER_ID",IF(AN52&lt;&gt;"PASS_UNIQUE_PHYSICAL_TRIP","BLOCK_POSSIBLE_PHYSICAL_DUPLICATE",IF(AND(Z52="simulated",AA52="yes"),"PASS_SIMULATED_ONLY",IF(AND(Z52="actual",AA52&lt;&gt;"yes",W52="factor_verified",AB52&lt;&gt;"",AD52&lt;&gt;"",AE52&lt;&gt;""),"PASS_FORMAL_PRECHECK","REVIEW_DATA_STATUS")))))))))</x:f>
      </x:c>
      <x:c r="AK52" t="str">
        <x:f>IF(AJ52="","",IF(AJ52="BLOCK_MISSING_REQUIRED","缺少活动量/单位/因子/趟次关键字段/证据标识",IF(AJ52="BLOCK_NEGATIVE_ACTIVITY","活动量为负，禁止进入汇总",IF(AJ52="BLOCK_UNSUPPORTED_UNIT","活动单位不在允许单位白名单中",IF(AJ52="BLOCK_UNIT_MISMATCH","活动单位与因子单位不匹配",IF(AJ52="BLOCK_DUPLICATE_LEDGER_ID","台账行ID重复，需复核",IF(AJ52="BLOCK_POSSIBLE_PHYSICAL_DUPLICATE","疑似同一物理趟次/来源行重复，冻结汇总并复核",IF(AJ52="PASS_SIMULATED_ONLY","结构检查通过，但仅供 simulated 测试",IF(AJ52="PASS_FORMAL_PRECHECK","通过结构预检；仍需人工/负责人审批","数据状态需人工复核")))))))))</x:f>
      </x:c>
      <x:c r="AL52" t="str">
        <x:f>IF(A52="","",IF(OR(Z52="simulated",AA52="yes",W52&lt;&gt;"factor_verified",AJ52&lt;&gt;"PASS_FORMAL_PRECHECK",AB52="",AD52="",AE52=""),"NOT_FORMAL_USE","ELIGIBLE_FOR_REVIEW_NOT_APPROVED"))</x:f>
      </x:c>
      <x:c r="AM52" s="12" t="str">
        <x:f>IF(OR(F52="",G52="",J52="",COUNT(L52)=0,M52="",COUNT(N52)=0,COUNT(O52)=0),"",UPPER(F52&amp;"|"&amp;G52&amp;"|"&amp;J52&amp;"|"&amp;TEXT(N52,"0.000")&amp;"|"&amp;TEXT(O52,"0.000")&amp;"|"&amp;TEXT(L52,"0.000")&amp;"|"&amp;M52))</x:f>
      </x:c>
      <x:c r="AN52" s="12" t="str">
        <x:f>IF(A52="","",IF(OR(COUNTIF($C$2:$C$101,C52)&gt;1,AND(AE52&lt;&gt;"",COUNTIF($AE$2:$AE$101,AE52)&gt;1),AND(AM52&lt;&gt;"",COUNTIF($AM$2:$AM$101,AM52)&gt;1)),"BLOCK_POSSIBLE_PHYSICAL_DUPLICATE","PASS_UNIQUE_PHYSICAL_TRIP"))</x:f>
      </x:c>
      <x:c r="AO52" s="12"/>
      <x:c r="AP52" s="12" t="str">
        <x:f>IF(A52="","",IF(AND(Z52="actual",AA52&lt;&gt;"yes",W52="factor_verified",AJ52="PASS_FORMAL_PRECHECK",AN52="PASS_UNIQUE_PHYSICAL_TRIP",AO52="approved",AB52&lt;&gt;"",AD52&lt;&gt;"",AE52&lt;&gt;""),"FORMAL_APPROVED","EXCLUDED_NOT_FORMALLY_APPROVED"))</x:f>
      </x:c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>
        <x:f>IF(G53="","",LEFT(G53,7))</x:f>
      </x:c>
      <x:c r="I53" s="14" t="str">
        <x:f>IF(G53="","",LEFT(G53,4))</x:f>
      </x:c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  <x:c r="T53" s="14" t="str"/>
      <x:c r="U53" s="14" t="str"/>
      <x:c r="V53" s="14" t="str"/>
      <x:c r="W53" s="14" t="str"/>
      <x:c r="X53" s="14" t="str">
        <x:f>IF(OR(L53="",T53=""),"",L53*T53)</x:f>
      </x:c>
      <x:c r="Y53" s="14" t="str">
        <x:f>IF(X53="","",X53/1000)</x:f>
      </x:c>
      <x:c r="Z53" s="14" t="str"/>
      <x:c r="AA53" s="14" t="str"/>
      <x:c r="AB53" s="14" t="str"/>
      <x:c r="AC53" s="14" t="str"/>
      <x:c r="AD53" s="14" t="str"/>
      <x:c r="AE53" s="14" t="str"/>
      <x:c r="AF53" s="14" t="str"/>
      <x:c r="AG53" s="14" t="str"/>
      <x:c r="AH53" s="14" t="str"/>
      <x:c r="AI53" s="14" t="str"/>
      <x:c r="AJ53" t="str">
        <x:f>IF(A53="","",IF(OR(COUNT(L53)=0,M53="",COUNT(T53)=0,U53="",C53="",F53="",G53="",J53="",COUNT(N53)=0,COUNT(O53)=0,AB53="",AD53="",AE53=""),"BLOCK_MISSING_REQUIRED",IF(L53&lt;0,"BLOCK_NEGATIVE_ACTIVITY",IF(AND(M53&lt;&gt;"L",M53&lt;&gt;"kWh",M53&lt;&gt;"km",M53&lt;&gt;"t"),"BLOCK_UNSUPPORTED_UNIT",IF(OR(AND(M53="L",U53&lt;&gt;"kgCO2e/L"),AND(M53="kWh",U53&lt;&gt;"kgCO2e/kWh"),AND(M53="km",U53&lt;&gt;"kgCO2e/km"),AND(M53="t",U53&lt;&gt;"kgCO2e/t")),"BLOCK_UNIT_MISMATCH",IF(COUNTIF($A$2:$A$101,A53)&gt;1,"BLOCK_DUPLICATE_LEDGER_ID",IF(AN53&lt;&gt;"PASS_UNIQUE_PHYSICAL_TRIP","BLOCK_POSSIBLE_PHYSICAL_DUPLICATE",IF(AND(Z53="simulated",AA53="yes"),"PASS_SIMULATED_ONLY",IF(AND(Z53="actual",AA53&lt;&gt;"yes",W53="factor_verified",AB53&lt;&gt;"",AD53&lt;&gt;"",AE53&lt;&gt;""),"PASS_FORMAL_PRECHECK","REVIEW_DATA_STATUS")))))))))</x:f>
      </x:c>
      <x:c r="AK53" t="str">
        <x:f>IF(AJ53="","",IF(AJ53="BLOCK_MISSING_REQUIRED","缺少活动量/单位/因子/趟次关键字段/证据标识",IF(AJ53="BLOCK_NEGATIVE_ACTIVITY","活动量为负，禁止进入汇总",IF(AJ53="BLOCK_UNSUPPORTED_UNIT","活动单位不在允许单位白名单中",IF(AJ53="BLOCK_UNIT_MISMATCH","活动单位与因子单位不匹配",IF(AJ53="BLOCK_DUPLICATE_LEDGER_ID","台账行ID重复，需复核",IF(AJ53="BLOCK_POSSIBLE_PHYSICAL_DUPLICATE","疑似同一物理趟次/来源行重复，冻结汇总并复核",IF(AJ53="PASS_SIMULATED_ONLY","结构检查通过，但仅供 simulated 测试",IF(AJ53="PASS_FORMAL_PRECHECK","通过结构预检；仍需人工/负责人审批","数据状态需人工复核")))))))))</x:f>
      </x:c>
      <x:c r="AL53" t="str">
        <x:f>IF(A53="","",IF(OR(Z53="simulated",AA53="yes",W53&lt;&gt;"factor_verified",AJ53&lt;&gt;"PASS_FORMAL_PRECHECK",AB53="",AD53="",AE53=""),"NOT_FORMAL_USE","ELIGIBLE_FOR_REVIEW_NOT_APPROVED"))</x:f>
      </x:c>
      <x:c r="AM53" s="12" t="str">
        <x:f>IF(OR(F53="",G53="",J53="",COUNT(L53)=0,M53="",COUNT(N53)=0,COUNT(O53)=0),"",UPPER(F53&amp;"|"&amp;G53&amp;"|"&amp;J53&amp;"|"&amp;TEXT(N53,"0.000")&amp;"|"&amp;TEXT(O53,"0.000")&amp;"|"&amp;TEXT(L53,"0.000")&amp;"|"&amp;M53))</x:f>
      </x:c>
      <x:c r="AN53" s="12" t="str">
        <x:f>IF(A53="","",IF(OR(COUNTIF($C$2:$C$101,C53)&gt;1,AND(AE53&lt;&gt;"",COUNTIF($AE$2:$AE$101,AE53)&gt;1),AND(AM53&lt;&gt;"",COUNTIF($AM$2:$AM$101,AM53)&gt;1)),"BLOCK_POSSIBLE_PHYSICAL_DUPLICATE","PASS_UNIQUE_PHYSICAL_TRIP"))</x:f>
      </x:c>
      <x:c r="AO53" s="12"/>
      <x:c r="AP53" s="12" t="str">
        <x:f>IF(A53="","",IF(AND(Z53="actual",AA53&lt;&gt;"yes",W53="factor_verified",AJ53="PASS_FORMAL_PRECHECK",AN53="PASS_UNIQUE_PHYSICAL_TRIP",AO53="approved",AB53&lt;&gt;"",AD53&lt;&gt;"",AE53&lt;&gt;""),"FORMAL_APPROVED","EXCLUDED_NOT_FORMALLY_APPROVED"))</x:f>
      </x:c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>
        <x:f>IF(G54="","",LEFT(G54,7))</x:f>
      </x:c>
      <x:c r="I54" s="14" t="str">
        <x:f>IF(G54="","",LEFT(G54,4))</x:f>
      </x:c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  <x:c r="T54" s="14" t="str"/>
      <x:c r="U54" s="14" t="str"/>
      <x:c r="V54" s="14" t="str"/>
      <x:c r="W54" s="14" t="str"/>
      <x:c r="X54" s="14" t="str">
        <x:f>IF(OR(L54="",T54=""),"",L54*T54)</x:f>
      </x:c>
      <x:c r="Y54" s="14" t="str">
        <x:f>IF(X54="","",X54/1000)</x:f>
      </x:c>
      <x:c r="Z54" s="14" t="str"/>
      <x:c r="AA54" s="14" t="str"/>
      <x:c r="AB54" s="14" t="str"/>
      <x:c r="AC54" s="14" t="str"/>
      <x:c r="AD54" s="14" t="str"/>
      <x:c r="AE54" s="14" t="str"/>
      <x:c r="AF54" s="14" t="str"/>
      <x:c r="AG54" s="14" t="str"/>
      <x:c r="AH54" s="14" t="str"/>
      <x:c r="AI54" s="14" t="str"/>
      <x:c r="AJ54" t="str">
        <x:f>IF(A54="","",IF(OR(COUNT(L54)=0,M54="",COUNT(T54)=0,U54="",C54="",F54="",G54="",J54="",COUNT(N54)=0,COUNT(O54)=0,AB54="",AD54="",AE54=""),"BLOCK_MISSING_REQUIRED",IF(L54&lt;0,"BLOCK_NEGATIVE_ACTIVITY",IF(AND(M54&lt;&gt;"L",M54&lt;&gt;"kWh",M54&lt;&gt;"km",M54&lt;&gt;"t"),"BLOCK_UNSUPPORTED_UNIT",IF(OR(AND(M54="L",U54&lt;&gt;"kgCO2e/L"),AND(M54="kWh",U54&lt;&gt;"kgCO2e/kWh"),AND(M54="km",U54&lt;&gt;"kgCO2e/km"),AND(M54="t",U54&lt;&gt;"kgCO2e/t")),"BLOCK_UNIT_MISMATCH",IF(COUNTIF($A$2:$A$101,A54)&gt;1,"BLOCK_DUPLICATE_LEDGER_ID",IF(AN54&lt;&gt;"PASS_UNIQUE_PHYSICAL_TRIP","BLOCK_POSSIBLE_PHYSICAL_DUPLICATE",IF(AND(Z54="simulated",AA54="yes"),"PASS_SIMULATED_ONLY",IF(AND(Z54="actual",AA54&lt;&gt;"yes",W54="factor_verified",AB54&lt;&gt;"",AD54&lt;&gt;"",AE54&lt;&gt;""),"PASS_FORMAL_PRECHECK","REVIEW_DATA_STATUS")))))))))</x:f>
      </x:c>
      <x:c r="AK54" t="str">
        <x:f>IF(AJ54="","",IF(AJ54="BLOCK_MISSING_REQUIRED","缺少活动量/单位/因子/趟次关键字段/证据标识",IF(AJ54="BLOCK_NEGATIVE_ACTIVITY","活动量为负，禁止进入汇总",IF(AJ54="BLOCK_UNSUPPORTED_UNIT","活动单位不在允许单位白名单中",IF(AJ54="BLOCK_UNIT_MISMATCH","活动单位与因子单位不匹配",IF(AJ54="BLOCK_DUPLICATE_LEDGER_ID","台账行ID重复，需复核",IF(AJ54="BLOCK_POSSIBLE_PHYSICAL_DUPLICATE","疑似同一物理趟次/来源行重复，冻结汇总并复核",IF(AJ54="PASS_SIMULATED_ONLY","结构检查通过，但仅供 simulated 测试",IF(AJ54="PASS_FORMAL_PRECHECK","通过结构预检；仍需人工/负责人审批","数据状态需人工复核")))))))))</x:f>
      </x:c>
      <x:c r="AL54" t="str">
        <x:f>IF(A54="","",IF(OR(Z54="simulated",AA54="yes",W54&lt;&gt;"factor_verified",AJ54&lt;&gt;"PASS_FORMAL_PRECHECK",AB54="",AD54="",AE54=""),"NOT_FORMAL_USE","ELIGIBLE_FOR_REVIEW_NOT_APPROVED"))</x:f>
      </x:c>
      <x:c r="AM54" s="12" t="str">
        <x:f>IF(OR(F54="",G54="",J54="",COUNT(L54)=0,M54="",COUNT(N54)=0,COUNT(O54)=0),"",UPPER(F54&amp;"|"&amp;G54&amp;"|"&amp;J54&amp;"|"&amp;TEXT(N54,"0.000")&amp;"|"&amp;TEXT(O54,"0.000")&amp;"|"&amp;TEXT(L54,"0.000")&amp;"|"&amp;M54))</x:f>
      </x:c>
      <x:c r="AN54" s="12" t="str">
        <x:f>IF(A54="","",IF(OR(COUNTIF($C$2:$C$101,C54)&gt;1,AND(AE54&lt;&gt;"",COUNTIF($AE$2:$AE$101,AE54)&gt;1),AND(AM54&lt;&gt;"",COUNTIF($AM$2:$AM$101,AM54)&gt;1)),"BLOCK_POSSIBLE_PHYSICAL_DUPLICATE","PASS_UNIQUE_PHYSICAL_TRIP"))</x:f>
      </x:c>
      <x:c r="AO54" s="12"/>
      <x:c r="AP54" s="12" t="str">
        <x:f>IF(A54="","",IF(AND(Z54="actual",AA54&lt;&gt;"yes",W54="factor_verified",AJ54="PASS_FORMAL_PRECHECK",AN54="PASS_UNIQUE_PHYSICAL_TRIP",AO54="approved",AB54&lt;&gt;"",AD54&lt;&gt;"",AE54&lt;&gt;""),"FORMAL_APPROVED","EXCLUDED_NOT_FORMALLY_APPROVED"))</x:f>
      </x:c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>
        <x:f>IF(G55="","",LEFT(G55,7))</x:f>
      </x:c>
      <x:c r="I55" s="14" t="str">
        <x:f>IF(G55="","",LEFT(G55,4))</x:f>
      </x:c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  <x:c r="T55" s="14" t="str"/>
      <x:c r="U55" s="14" t="str"/>
      <x:c r="V55" s="14" t="str"/>
      <x:c r="W55" s="14" t="str"/>
      <x:c r="X55" s="14" t="str">
        <x:f>IF(OR(L55="",T55=""),"",L55*T55)</x:f>
      </x:c>
      <x:c r="Y55" s="14" t="str">
        <x:f>IF(X55="","",X55/1000)</x:f>
      </x:c>
      <x:c r="Z55" s="14" t="str"/>
      <x:c r="AA55" s="14" t="str"/>
      <x:c r="AB55" s="14" t="str"/>
      <x:c r="AC55" s="14" t="str"/>
      <x:c r="AD55" s="14" t="str"/>
      <x:c r="AE55" s="14" t="str"/>
      <x:c r="AF55" s="14" t="str"/>
      <x:c r="AG55" s="14" t="str"/>
      <x:c r="AH55" s="14" t="str"/>
      <x:c r="AI55" s="14" t="str"/>
      <x:c r="AJ55" t="str">
        <x:f>IF(A55="","",IF(OR(COUNT(L55)=0,M55="",COUNT(T55)=0,U55="",C55="",F55="",G55="",J55="",COUNT(N55)=0,COUNT(O55)=0,AB55="",AD55="",AE55=""),"BLOCK_MISSING_REQUIRED",IF(L55&lt;0,"BLOCK_NEGATIVE_ACTIVITY",IF(AND(M55&lt;&gt;"L",M55&lt;&gt;"kWh",M55&lt;&gt;"km",M55&lt;&gt;"t"),"BLOCK_UNSUPPORTED_UNIT",IF(OR(AND(M55="L",U55&lt;&gt;"kgCO2e/L"),AND(M55="kWh",U55&lt;&gt;"kgCO2e/kWh"),AND(M55="km",U55&lt;&gt;"kgCO2e/km"),AND(M55="t",U55&lt;&gt;"kgCO2e/t")),"BLOCK_UNIT_MISMATCH",IF(COUNTIF($A$2:$A$101,A55)&gt;1,"BLOCK_DUPLICATE_LEDGER_ID",IF(AN55&lt;&gt;"PASS_UNIQUE_PHYSICAL_TRIP","BLOCK_POSSIBLE_PHYSICAL_DUPLICATE",IF(AND(Z55="simulated",AA55="yes"),"PASS_SIMULATED_ONLY",IF(AND(Z55="actual",AA55&lt;&gt;"yes",W55="factor_verified",AB55&lt;&gt;"",AD55&lt;&gt;"",AE55&lt;&gt;""),"PASS_FORMAL_PRECHECK","REVIEW_DATA_STATUS")))))))))</x:f>
      </x:c>
      <x:c r="AK55" t="str">
        <x:f>IF(AJ55="","",IF(AJ55="BLOCK_MISSING_REQUIRED","缺少活动量/单位/因子/趟次关键字段/证据标识",IF(AJ55="BLOCK_NEGATIVE_ACTIVITY","活动量为负，禁止进入汇总",IF(AJ55="BLOCK_UNSUPPORTED_UNIT","活动单位不在允许单位白名单中",IF(AJ55="BLOCK_UNIT_MISMATCH","活动单位与因子单位不匹配",IF(AJ55="BLOCK_DUPLICATE_LEDGER_ID","台账行ID重复，需复核",IF(AJ55="BLOCK_POSSIBLE_PHYSICAL_DUPLICATE","疑似同一物理趟次/来源行重复，冻结汇总并复核",IF(AJ55="PASS_SIMULATED_ONLY","结构检查通过，但仅供 simulated 测试",IF(AJ55="PASS_FORMAL_PRECHECK","通过结构预检；仍需人工/负责人审批","数据状态需人工复核")))))))))</x:f>
      </x:c>
      <x:c r="AL55" t="str">
        <x:f>IF(A55="","",IF(OR(Z55="simulated",AA55="yes",W55&lt;&gt;"factor_verified",AJ55&lt;&gt;"PASS_FORMAL_PRECHECK",AB55="",AD55="",AE55=""),"NOT_FORMAL_USE","ELIGIBLE_FOR_REVIEW_NOT_APPROVED"))</x:f>
      </x:c>
      <x:c r="AM55" s="12" t="str">
        <x:f>IF(OR(F55="",G55="",J55="",COUNT(L55)=0,M55="",COUNT(N55)=0,COUNT(O55)=0),"",UPPER(F55&amp;"|"&amp;G55&amp;"|"&amp;J55&amp;"|"&amp;TEXT(N55,"0.000")&amp;"|"&amp;TEXT(O55,"0.000")&amp;"|"&amp;TEXT(L55,"0.000")&amp;"|"&amp;M55))</x:f>
      </x:c>
      <x:c r="AN55" s="12" t="str">
        <x:f>IF(A55="","",IF(OR(COUNTIF($C$2:$C$101,C55)&gt;1,AND(AE55&lt;&gt;"",COUNTIF($AE$2:$AE$101,AE55)&gt;1),AND(AM55&lt;&gt;"",COUNTIF($AM$2:$AM$101,AM55)&gt;1)),"BLOCK_POSSIBLE_PHYSICAL_DUPLICATE","PASS_UNIQUE_PHYSICAL_TRIP"))</x:f>
      </x:c>
      <x:c r="AO55" s="12"/>
      <x:c r="AP55" s="12" t="str">
        <x:f>IF(A55="","",IF(AND(Z55="actual",AA55&lt;&gt;"yes",W55="factor_verified",AJ55="PASS_FORMAL_PRECHECK",AN55="PASS_UNIQUE_PHYSICAL_TRIP",AO55="approved",AB55&lt;&gt;"",AD55&lt;&gt;"",AE55&lt;&gt;""),"FORMAL_APPROVED","EXCLUDED_NOT_FORMALLY_APPROVED"))</x:f>
      </x:c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>
        <x:f>IF(G56="","",LEFT(G56,7))</x:f>
      </x:c>
      <x:c r="I56" s="14" t="str">
        <x:f>IF(G56="","",LEFT(G56,4))</x:f>
      </x:c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  <x:c r="T56" s="14" t="str"/>
      <x:c r="U56" s="14" t="str"/>
      <x:c r="V56" s="14" t="str"/>
      <x:c r="W56" s="14" t="str"/>
      <x:c r="X56" s="14" t="str">
        <x:f>IF(OR(L56="",T56=""),"",L56*T56)</x:f>
      </x:c>
      <x:c r="Y56" s="14" t="str">
        <x:f>IF(X56="","",X56/1000)</x:f>
      </x:c>
      <x:c r="Z56" s="14" t="str"/>
      <x:c r="AA56" s="14" t="str"/>
      <x:c r="AB56" s="14" t="str"/>
      <x:c r="AC56" s="14" t="str"/>
      <x:c r="AD56" s="14" t="str"/>
      <x:c r="AE56" s="14" t="str"/>
      <x:c r="AF56" s="14" t="str"/>
      <x:c r="AG56" s="14" t="str"/>
      <x:c r="AH56" s="14" t="str"/>
      <x:c r="AI56" s="14" t="str"/>
      <x:c r="AJ56" t="str">
        <x:f>IF(A56="","",IF(OR(COUNT(L56)=0,M56="",COUNT(T56)=0,U56="",C56="",F56="",G56="",J56="",COUNT(N56)=0,COUNT(O56)=0,AB56="",AD56="",AE56=""),"BLOCK_MISSING_REQUIRED",IF(L56&lt;0,"BLOCK_NEGATIVE_ACTIVITY",IF(AND(M56&lt;&gt;"L",M56&lt;&gt;"kWh",M56&lt;&gt;"km",M56&lt;&gt;"t"),"BLOCK_UNSUPPORTED_UNIT",IF(OR(AND(M56="L",U56&lt;&gt;"kgCO2e/L"),AND(M56="kWh",U56&lt;&gt;"kgCO2e/kWh"),AND(M56="km",U56&lt;&gt;"kgCO2e/km"),AND(M56="t",U56&lt;&gt;"kgCO2e/t")),"BLOCK_UNIT_MISMATCH",IF(COUNTIF($A$2:$A$101,A56)&gt;1,"BLOCK_DUPLICATE_LEDGER_ID",IF(AN56&lt;&gt;"PASS_UNIQUE_PHYSICAL_TRIP","BLOCK_POSSIBLE_PHYSICAL_DUPLICATE",IF(AND(Z56="simulated",AA56="yes"),"PASS_SIMULATED_ONLY",IF(AND(Z56="actual",AA56&lt;&gt;"yes",W56="factor_verified",AB56&lt;&gt;"",AD56&lt;&gt;"",AE56&lt;&gt;""),"PASS_FORMAL_PRECHECK","REVIEW_DATA_STATUS")))))))))</x:f>
      </x:c>
      <x:c r="AK56" t="str">
        <x:f>IF(AJ56="","",IF(AJ56="BLOCK_MISSING_REQUIRED","缺少活动量/单位/因子/趟次关键字段/证据标识",IF(AJ56="BLOCK_NEGATIVE_ACTIVITY","活动量为负，禁止进入汇总",IF(AJ56="BLOCK_UNSUPPORTED_UNIT","活动单位不在允许单位白名单中",IF(AJ56="BLOCK_UNIT_MISMATCH","活动单位与因子单位不匹配",IF(AJ56="BLOCK_DUPLICATE_LEDGER_ID","台账行ID重复，需复核",IF(AJ56="BLOCK_POSSIBLE_PHYSICAL_DUPLICATE","疑似同一物理趟次/来源行重复，冻结汇总并复核",IF(AJ56="PASS_SIMULATED_ONLY","结构检查通过，但仅供 simulated 测试",IF(AJ56="PASS_FORMAL_PRECHECK","通过结构预检；仍需人工/负责人审批","数据状态需人工复核")))))))))</x:f>
      </x:c>
      <x:c r="AL56" t="str">
        <x:f>IF(A56="","",IF(OR(Z56="simulated",AA56="yes",W56&lt;&gt;"factor_verified",AJ56&lt;&gt;"PASS_FORMAL_PRECHECK",AB56="",AD56="",AE56=""),"NOT_FORMAL_USE","ELIGIBLE_FOR_REVIEW_NOT_APPROVED"))</x:f>
      </x:c>
      <x:c r="AM56" s="12" t="str">
        <x:f>IF(OR(F56="",G56="",J56="",COUNT(L56)=0,M56="",COUNT(N56)=0,COUNT(O56)=0),"",UPPER(F56&amp;"|"&amp;G56&amp;"|"&amp;J56&amp;"|"&amp;TEXT(N56,"0.000")&amp;"|"&amp;TEXT(O56,"0.000")&amp;"|"&amp;TEXT(L56,"0.000")&amp;"|"&amp;M56))</x:f>
      </x:c>
      <x:c r="AN56" s="12" t="str">
        <x:f>IF(A56="","",IF(OR(COUNTIF($C$2:$C$101,C56)&gt;1,AND(AE56&lt;&gt;"",COUNTIF($AE$2:$AE$101,AE56)&gt;1),AND(AM56&lt;&gt;"",COUNTIF($AM$2:$AM$101,AM56)&gt;1)),"BLOCK_POSSIBLE_PHYSICAL_DUPLICATE","PASS_UNIQUE_PHYSICAL_TRIP"))</x:f>
      </x:c>
      <x:c r="AO56" s="12"/>
      <x:c r="AP56" s="12" t="str">
        <x:f>IF(A56="","",IF(AND(Z56="actual",AA56&lt;&gt;"yes",W56="factor_verified",AJ56="PASS_FORMAL_PRECHECK",AN56="PASS_UNIQUE_PHYSICAL_TRIP",AO56="approved",AB56&lt;&gt;"",AD56&lt;&gt;"",AE56&lt;&gt;""),"FORMAL_APPROVED","EXCLUDED_NOT_FORMALLY_APPROVED"))</x:f>
      </x:c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>
        <x:f>IF(G57="","",LEFT(G57,7))</x:f>
      </x:c>
      <x:c r="I57" s="14" t="str">
        <x:f>IF(G57="","",LEFT(G57,4))</x:f>
      </x:c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  <x:c r="T57" s="14" t="str"/>
      <x:c r="U57" s="14" t="str"/>
      <x:c r="V57" s="14" t="str"/>
      <x:c r="W57" s="14" t="str"/>
      <x:c r="X57" s="14" t="str">
        <x:f>IF(OR(L57="",T57=""),"",L57*T57)</x:f>
      </x:c>
      <x:c r="Y57" s="14" t="str">
        <x:f>IF(X57="","",X57/1000)</x:f>
      </x:c>
      <x:c r="Z57" s="14" t="str"/>
      <x:c r="AA57" s="14" t="str"/>
      <x:c r="AB57" s="14" t="str"/>
      <x:c r="AC57" s="14" t="str"/>
      <x:c r="AD57" s="14" t="str"/>
      <x:c r="AE57" s="14" t="str"/>
      <x:c r="AF57" s="14" t="str"/>
      <x:c r="AG57" s="14" t="str"/>
      <x:c r="AH57" s="14" t="str"/>
      <x:c r="AI57" s="14" t="str"/>
      <x:c r="AJ57" t="str">
        <x:f>IF(A57="","",IF(OR(COUNT(L57)=0,M57="",COUNT(T57)=0,U57="",C57="",F57="",G57="",J57="",COUNT(N57)=0,COUNT(O57)=0,AB57="",AD57="",AE57=""),"BLOCK_MISSING_REQUIRED",IF(L57&lt;0,"BLOCK_NEGATIVE_ACTIVITY",IF(AND(M57&lt;&gt;"L",M57&lt;&gt;"kWh",M57&lt;&gt;"km",M57&lt;&gt;"t"),"BLOCK_UNSUPPORTED_UNIT",IF(OR(AND(M57="L",U57&lt;&gt;"kgCO2e/L"),AND(M57="kWh",U57&lt;&gt;"kgCO2e/kWh"),AND(M57="km",U57&lt;&gt;"kgCO2e/km"),AND(M57="t",U57&lt;&gt;"kgCO2e/t")),"BLOCK_UNIT_MISMATCH",IF(COUNTIF($A$2:$A$101,A57)&gt;1,"BLOCK_DUPLICATE_LEDGER_ID",IF(AN57&lt;&gt;"PASS_UNIQUE_PHYSICAL_TRIP","BLOCK_POSSIBLE_PHYSICAL_DUPLICATE",IF(AND(Z57="simulated",AA57="yes"),"PASS_SIMULATED_ONLY",IF(AND(Z57="actual",AA57&lt;&gt;"yes",W57="factor_verified",AB57&lt;&gt;"",AD57&lt;&gt;"",AE57&lt;&gt;""),"PASS_FORMAL_PRECHECK","REVIEW_DATA_STATUS")))))))))</x:f>
      </x:c>
      <x:c r="AK57" t="str">
        <x:f>IF(AJ57="","",IF(AJ57="BLOCK_MISSING_REQUIRED","缺少活动量/单位/因子/趟次关键字段/证据标识",IF(AJ57="BLOCK_NEGATIVE_ACTIVITY","活动量为负，禁止进入汇总",IF(AJ57="BLOCK_UNSUPPORTED_UNIT","活动单位不在允许单位白名单中",IF(AJ57="BLOCK_UNIT_MISMATCH","活动单位与因子单位不匹配",IF(AJ57="BLOCK_DUPLICATE_LEDGER_ID","台账行ID重复，需复核",IF(AJ57="BLOCK_POSSIBLE_PHYSICAL_DUPLICATE","疑似同一物理趟次/来源行重复，冻结汇总并复核",IF(AJ57="PASS_SIMULATED_ONLY","结构检查通过，但仅供 simulated 测试",IF(AJ57="PASS_FORMAL_PRECHECK","通过结构预检；仍需人工/负责人审批","数据状态需人工复核")))))))))</x:f>
      </x:c>
      <x:c r="AL57" t="str">
        <x:f>IF(A57="","",IF(OR(Z57="simulated",AA57="yes",W57&lt;&gt;"factor_verified",AJ57&lt;&gt;"PASS_FORMAL_PRECHECK",AB57="",AD57="",AE57=""),"NOT_FORMAL_USE","ELIGIBLE_FOR_REVIEW_NOT_APPROVED"))</x:f>
      </x:c>
      <x:c r="AM57" s="12" t="str">
        <x:f>IF(OR(F57="",G57="",J57="",COUNT(L57)=0,M57="",COUNT(N57)=0,COUNT(O57)=0),"",UPPER(F57&amp;"|"&amp;G57&amp;"|"&amp;J57&amp;"|"&amp;TEXT(N57,"0.000")&amp;"|"&amp;TEXT(O57,"0.000")&amp;"|"&amp;TEXT(L57,"0.000")&amp;"|"&amp;M57))</x:f>
      </x:c>
      <x:c r="AN57" s="12" t="str">
        <x:f>IF(A57="","",IF(OR(COUNTIF($C$2:$C$101,C57)&gt;1,AND(AE57&lt;&gt;"",COUNTIF($AE$2:$AE$101,AE57)&gt;1),AND(AM57&lt;&gt;"",COUNTIF($AM$2:$AM$101,AM57)&gt;1)),"BLOCK_POSSIBLE_PHYSICAL_DUPLICATE","PASS_UNIQUE_PHYSICAL_TRIP"))</x:f>
      </x:c>
      <x:c r="AO57" s="12"/>
      <x:c r="AP57" s="12" t="str">
        <x:f>IF(A57="","",IF(AND(Z57="actual",AA57&lt;&gt;"yes",W57="factor_verified",AJ57="PASS_FORMAL_PRECHECK",AN57="PASS_UNIQUE_PHYSICAL_TRIP",AO57="approved",AB57&lt;&gt;"",AD57&lt;&gt;"",AE57&lt;&gt;""),"FORMAL_APPROVED","EXCLUDED_NOT_FORMALLY_APPROVED"))</x:f>
      </x:c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>
        <x:f>IF(G58="","",LEFT(G58,7))</x:f>
      </x:c>
      <x:c r="I58" s="14" t="str">
        <x:f>IF(G58="","",LEFT(G58,4))</x:f>
      </x:c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  <x:c r="T58" s="14" t="str"/>
      <x:c r="U58" s="14" t="str"/>
      <x:c r="V58" s="14" t="str"/>
      <x:c r="W58" s="14" t="str"/>
      <x:c r="X58" s="14" t="str">
        <x:f>IF(OR(L58="",T58=""),"",L58*T58)</x:f>
      </x:c>
      <x:c r="Y58" s="14" t="str">
        <x:f>IF(X58="","",X58/1000)</x:f>
      </x:c>
      <x:c r="Z58" s="14" t="str"/>
      <x:c r="AA58" s="14" t="str"/>
      <x:c r="AB58" s="14" t="str"/>
      <x:c r="AC58" s="14" t="str"/>
      <x:c r="AD58" s="14" t="str"/>
      <x:c r="AE58" s="14" t="str"/>
      <x:c r="AF58" s="14" t="str"/>
      <x:c r="AG58" s="14" t="str"/>
      <x:c r="AH58" s="14" t="str"/>
      <x:c r="AI58" s="14" t="str"/>
      <x:c r="AJ58" t="str">
        <x:f>IF(A58="","",IF(OR(COUNT(L58)=0,M58="",COUNT(T58)=0,U58="",C58="",F58="",G58="",J58="",COUNT(N58)=0,COUNT(O58)=0,AB58="",AD58="",AE58=""),"BLOCK_MISSING_REQUIRED",IF(L58&lt;0,"BLOCK_NEGATIVE_ACTIVITY",IF(AND(M58&lt;&gt;"L",M58&lt;&gt;"kWh",M58&lt;&gt;"km",M58&lt;&gt;"t"),"BLOCK_UNSUPPORTED_UNIT",IF(OR(AND(M58="L",U58&lt;&gt;"kgCO2e/L"),AND(M58="kWh",U58&lt;&gt;"kgCO2e/kWh"),AND(M58="km",U58&lt;&gt;"kgCO2e/km"),AND(M58="t",U58&lt;&gt;"kgCO2e/t")),"BLOCK_UNIT_MISMATCH",IF(COUNTIF($A$2:$A$101,A58)&gt;1,"BLOCK_DUPLICATE_LEDGER_ID",IF(AN58&lt;&gt;"PASS_UNIQUE_PHYSICAL_TRIP","BLOCK_POSSIBLE_PHYSICAL_DUPLICATE",IF(AND(Z58="simulated",AA58="yes"),"PASS_SIMULATED_ONLY",IF(AND(Z58="actual",AA58&lt;&gt;"yes",W58="factor_verified",AB58&lt;&gt;"",AD58&lt;&gt;"",AE58&lt;&gt;""),"PASS_FORMAL_PRECHECK","REVIEW_DATA_STATUS")))))))))</x:f>
      </x:c>
      <x:c r="AK58" t="str">
        <x:f>IF(AJ58="","",IF(AJ58="BLOCK_MISSING_REQUIRED","缺少活动量/单位/因子/趟次关键字段/证据标识",IF(AJ58="BLOCK_NEGATIVE_ACTIVITY","活动量为负，禁止进入汇总",IF(AJ58="BLOCK_UNSUPPORTED_UNIT","活动单位不在允许单位白名单中",IF(AJ58="BLOCK_UNIT_MISMATCH","活动单位与因子单位不匹配",IF(AJ58="BLOCK_DUPLICATE_LEDGER_ID","台账行ID重复，需复核",IF(AJ58="BLOCK_POSSIBLE_PHYSICAL_DUPLICATE","疑似同一物理趟次/来源行重复，冻结汇总并复核",IF(AJ58="PASS_SIMULATED_ONLY","结构检查通过，但仅供 simulated 测试",IF(AJ58="PASS_FORMAL_PRECHECK","通过结构预检；仍需人工/负责人审批","数据状态需人工复核")))))))))</x:f>
      </x:c>
      <x:c r="AL58" t="str">
        <x:f>IF(A58="","",IF(OR(Z58="simulated",AA58="yes",W58&lt;&gt;"factor_verified",AJ58&lt;&gt;"PASS_FORMAL_PRECHECK",AB58="",AD58="",AE58=""),"NOT_FORMAL_USE","ELIGIBLE_FOR_REVIEW_NOT_APPROVED"))</x:f>
      </x:c>
      <x:c r="AM58" s="12" t="str">
        <x:f>IF(OR(F58="",G58="",J58="",COUNT(L58)=0,M58="",COUNT(N58)=0,COUNT(O58)=0),"",UPPER(F58&amp;"|"&amp;G58&amp;"|"&amp;J58&amp;"|"&amp;TEXT(N58,"0.000")&amp;"|"&amp;TEXT(O58,"0.000")&amp;"|"&amp;TEXT(L58,"0.000")&amp;"|"&amp;M58))</x:f>
      </x:c>
      <x:c r="AN58" s="12" t="str">
        <x:f>IF(A58="","",IF(OR(COUNTIF($C$2:$C$101,C58)&gt;1,AND(AE58&lt;&gt;"",COUNTIF($AE$2:$AE$101,AE58)&gt;1),AND(AM58&lt;&gt;"",COUNTIF($AM$2:$AM$101,AM58)&gt;1)),"BLOCK_POSSIBLE_PHYSICAL_DUPLICATE","PASS_UNIQUE_PHYSICAL_TRIP"))</x:f>
      </x:c>
      <x:c r="AO58" s="12"/>
      <x:c r="AP58" s="12" t="str">
        <x:f>IF(A58="","",IF(AND(Z58="actual",AA58&lt;&gt;"yes",W58="factor_verified",AJ58="PASS_FORMAL_PRECHECK",AN58="PASS_UNIQUE_PHYSICAL_TRIP",AO58="approved",AB58&lt;&gt;"",AD58&lt;&gt;"",AE58&lt;&gt;""),"FORMAL_APPROVED","EXCLUDED_NOT_FORMALLY_APPROVED"))</x:f>
      </x:c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>
        <x:f>IF(G59="","",LEFT(G59,7))</x:f>
      </x:c>
      <x:c r="I59" s="14" t="str">
        <x:f>IF(G59="","",LEFT(G59,4))</x:f>
      </x:c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  <x:c r="T59" s="14" t="str"/>
      <x:c r="U59" s="14" t="str"/>
      <x:c r="V59" s="14" t="str"/>
      <x:c r="W59" s="14" t="str"/>
      <x:c r="X59" s="14" t="str">
        <x:f>IF(OR(L59="",T59=""),"",L59*T59)</x:f>
      </x:c>
      <x:c r="Y59" s="14" t="str">
        <x:f>IF(X59="","",X59/1000)</x:f>
      </x:c>
      <x:c r="Z59" s="14" t="str"/>
      <x:c r="AA59" s="14" t="str"/>
      <x:c r="AB59" s="14" t="str"/>
      <x:c r="AC59" s="14" t="str"/>
      <x:c r="AD59" s="14" t="str"/>
      <x:c r="AE59" s="14" t="str"/>
      <x:c r="AF59" s="14" t="str"/>
      <x:c r="AG59" s="14" t="str"/>
      <x:c r="AH59" s="14" t="str"/>
      <x:c r="AI59" s="14" t="str"/>
      <x:c r="AJ59" t="str">
        <x:f>IF(A59="","",IF(OR(COUNT(L59)=0,M59="",COUNT(T59)=0,U59="",C59="",F59="",G59="",J59="",COUNT(N59)=0,COUNT(O59)=0,AB59="",AD59="",AE59=""),"BLOCK_MISSING_REQUIRED",IF(L59&lt;0,"BLOCK_NEGATIVE_ACTIVITY",IF(AND(M59&lt;&gt;"L",M59&lt;&gt;"kWh",M59&lt;&gt;"km",M59&lt;&gt;"t"),"BLOCK_UNSUPPORTED_UNIT",IF(OR(AND(M59="L",U59&lt;&gt;"kgCO2e/L"),AND(M59="kWh",U59&lt;&gt;"kgCO2e/kWh"),AND(M59="km",U59&lt;&gt;"kgCO2e/km"),AND(M59="t",U59&lt;&gt;"kgCO2e/t")),"BLOCK_UNIT_MISMATCH",IF(COUNTIF($A$2:$A$101,A59)&gt;1,"BLOCK_DUPLICATE_LEDGER_ID",IF(AN59&lt;&gt;"PASS_UNIQUE_PHYSICAL_TRIP","BLOCK_POSSIBLE_PHYSICAL_DUPLICATE",IF(AND(Z59="simulated",AA59="yes"),"PASS_SIMULATED_ONLY",IF(AND(Z59="actual",AA59&lt;&gt;"yes",W59="factor_verified",AB59&lt;&gt;"",AD59&lt;&gt;"",AE59&lt;&gt;""),"PASS_FORMAL_PRECHECK","REVIEW_DATA_STATUS")))))))))</x:f>
      </x:c>
      <x:c r="AK59" t="str">
        <x:f>IF(AJ59="","",IF(AJ59="BLOCK_MISSING_REQUIRED","缺少活动量/单位/因子/趟次关键字段/证据标识",IF(AJ59="BLOCK_NEGATIVE_ACTIVITY","活动量为负，禁止进入汇总",IF(AJ59="BLOCK_UNSUPPORTED_UNIT","活动单位不在允许单位白名单中",IF(AJ59="BLOCK_UNIT_MISMATCH","活动单位与因子单位不匹配",IF(AJ59="BLOCK_DUPLICATE_LEDGER_ID","台账行ID重复，需复核",IF(AJ59="BLOCK_POSSIBLE_PHYSICAL_DUPLICATE","疑似同一物理趟次/来源行重复，冻结汇总并复核",IF(AJ59="PASS_SIMULATED_ONLY","结构检查通过，但仅供 simulated 测试",IF(AJ59="PASS_FORMAL_PRECHECK","通过结构预检；仍需人工/负责人审批","数据状态需人工复核")))))))))</x:f>
      </x:c>
      <x:c r="AL59" t="str">
        <x:f>IF(A59="","",IF(OR(Z59="simulated",AA59="yes",W59&lt;&gt;"factor_verified",AJ59&lt;&gt;"PASS_FORMAL_PRECHECK",AB59="",AD59="",AE59=""),"NOT_FORMAL_USE","ELIGIBLE_FOR_REVIEW_NOT_APPROVED"))</x:f>
      </x:c>
      <x:c r="AM59" s="12" t="str">
        <x:f>IF(OR(F59="",G59="",J59="",COUNT(L59)=0,M59="",COUNT(N59)=0,COUNT(O59)=0),"",UPPER(F59&amp;"|"&amp;G59&amp;"|"&amp;J59&amp;"|"&amp;TEXT(N59,"0.000")&amp;"|"&amp;TEXT(O59,"0.000")&amp;"|"&amp;TEXT(L59,"0.000")&amp;"|"&amp;M59))</x:f>
      </x:c>
      <x:c r="AN59" s="12" t="str">
        <x:f>IF(A59="","",IF(OR(COUNTIF($C$2:$C$101,C59)&gt;1,AND(AE59&lt;&gt;"",COUNTIF($AE$2:$AE$101,AE59)&gt;1),AND(AM59&lt;&gt;"",COUNTIF($AM$2:$AM$101,AM59)&gt;1)),"BLOCK_POSSIBLE_PHYSICAL_DUPLICATE","PASS_UNIQUE_PHYSICAL_TRIP"))</x:f>
      </x:c>
      <x:c r="AO59" s="12"/>
      <x:c r="AP59" s="12" t="str">
        <x:f>IF(A59="","",IF(AND(Z59="actual",AA59&lt;&gt;"yes",W59="factor_verified",AJ59="PASS_FORMAL_PRECHECK",AN59="PASS_UNIQUE_PHYSICAL_TRIP",AO59="approved",AB59&lt;&gt;"",AD59&lt;&gt;"",AE59&lt;&gt;""),"FORMAL_APPROVED","EXCLUDED_NOT_FORMALLY_APPROVED"))</x:f>
      </x:c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>
        <x:f>IF(G60="","",LEFT(G60,7))</x:f>
      </x:c>
      <x:c r="I60" s="14" t="str">
        <x:f>IF(G60="","",LEFT(G60,4))</x:f>
      </x:c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  <x:c r="T60" s="14" t="str"/>
      <x:c r="U60" s="14" t="str"/>
      <x:c r="V60" s="14" t="str"/>
      <x:c r="W60" s="14" t="str"/>
      <x:c r="X60" s="14" t="str">
        <x:f>IF(OR(L60="",T60=""),"",L60*T60)</x:f>
      </x:c>
      <x:c r="Y60" s="14" t="str">
        <x:f>IF(X60="","",X60/1000)</x:f>
      </x:c>
      <x:c r="Z60" s="14" t="str"/>
      <x:c r="AA60" s="14" t="str"/>
      <x:c r="AB60" s="14" t="str"/>
      <x:c r="AC60" s="14" t="str"/>
      <x:c r="AD60" s="14" t="str"/>
      <x:c r="AE60" s="14" t="str"/>
      <x:c r="AF60" s="14" t="str"/>
      <x:c r="AG60" s="14" t="str"/>
      <x:c r="AH60" s="14" t="str"/>
      <x:c r="AI60" s="14" t="str"/>
      <x:c r="AJ60" t="str">
        <x:f>IF(A60="","",IF(OR(COUNT(L60)=0,M60="",COUNT(T60)=0,U60="",C60="",F60="",G60="",J60="",COUNT(N60)=0,COUNT(O60)=0,AB60="",AD60="",AE60=""),"BLOCK_MISSING_REQUIRED",IF(L60&lt;0,"BLOCK_NEGATIVE_ACTIVITY",IF(AND(M60&lt;&gt;"L",M60&lt;&gt;"kWh",M60&lt;&gt;"km",M60&lt;&gt;"t"),"BLOCK_UNSUPPORTED_UNIT",IF(OR(AND(M60="L",U60&lt;&gt;"kgCO2e/L"),AND(M60="kWh",U60&lt;&gt;"kgCO2e/kWh"),AND(M60="km",U60&lt;&gt;"kgCO2e/km"),AND(M60="t",U60&lt;&gt;"kgCO2e/t")),"BLOCK_UNIT_MISMATCH",IF(COUNTIF($A$2:$A$101,A60)&gt;1,"BLOCK_DUPLICATE_LEDGER_ID",IF(AN60&lt;&gt;"PASS_UNIQUE_PHYSICAL_TRIP","BLOCK_POSSIBLE_PHYSICAL_DUPLICATE",IF(AND(Z60="simulated",AA60="yes"),"PASS_SIMULATED_ONLY",IF(AND(Z60="actual",AA60&lt;&gt;"yes",W60="factor_verified",AB60&lt;&gt;"",AD60&lt;&gt;"",AE60&lt;&gt;""),"PASS_FORMAL_PRECHECK","REVIEW_DATA_STATUS")))))))))</x:f>
      </x:c>
      <x:c r="AK60" t="str">
        <x:f>IF(AJ60="","",IF(AJ60="BLOCK_MISSING_REQUIRED","缺少活动量/单位/因子/趟次关键字段/证据标识",IF(AJ60="BLOCK_NEGATIVE_ACTIVITY","活动量为负，禁止进入汇总",IF(AJ60="BLOCK_UNSUPPORTED_UNIT","活动单位不在允许单位白名单中",IF(AJ60="BLOCK_UNIT_MISMATCH","活动单位与因子单位不匹配",IF(AJ60="BLOCK_DUPLICATE_LEDGER_ID","台账行ID重复，需复核",IF(AJ60="BLOCK_POSSIBLE_PHYSICAL_DUPLICATE","疑似同一物理趟次/来源行重复，冻结汇总并复核",IF(AJ60="PASS_SIMULATED_ONLY","结构检查通过，但仅供 simulated 测试",IF(AJ60="PASS_FORMAL_PRECHECK","通过结构预检；仍需人工/负责人审批","数据状态需人工复核")))))))))</x:f>
      </x:c>
      <x:c r="AL60" t="str">
        <x:f>IF(A60="","",IF(OR(Z60="simulated",AA60="yes",W60&lt;&gt;"factor_verified",AJ60&lt;&gt;"PASS_FORMAL_PRECHECK",AB60="",AD60="",AE60=""),"NOT_FORMAL_USE","ELIGIBLE_FOR_REVIEW_NOT_APPROVED"))</x:f>
      </x:c>
      <x:c r="AM60" s="12" t="str">
        <x:f>IF(OR(F60="",G60="",J60="",COUNT(L60)=0,M60="",COUNT(N60)=0,COUNT(O60)=0),"",UPPER(F60&amp;"|"&amp;G60&amp;"|"&amp;J60&amp;"|"&amp;TEXT(N60,"0.000")&amp;"|"&amp;TEXT(O60,"0.000")&amp;"|"&amp;TEXT(L60,"0.000")&amp;"|"&amp;M60))</x:f>
      </x:c>
      <x:c r="AN60" s="12" t="str">
        <x:f>IF(A60="","",IF(OR(COUNTIF($C$2:$C$101,C60)&gt;1,AND(AE60&lt;&gt;"",COUNTIF($AE$2:$AE$101,AE60)&gt;1),AND(AM60&lt;&gt;"",COUNTIF($AM$2:$AM$101,AM60)&gt;1)),"BLOCK_POSSIBLE_PHYSICAL_DUPLICATE","PASS_UNIQUE_PHYSICAL_TRIP"))</x:f>
      </x:c>
      <x:c r="AO60" s="12"/>
      <x:c r="AP60" s="12" t="str">
        <x:f>IF(A60="","",IF(AND(Z60="actual",AA60&lt;&gt;"yes",W60="factor_verified",AJ60="PASS_FORMAL_PRECHECK",AN60="PASS_UNIQUE_PHYSICAL_TRIP",AO60="approved",AB60&lt;&gt;"",AD60&lt;&gt;"",AE60&lt;&gt;""),"FORMAL_APPROVED","EXCLUDED_NOT_FORMALLY_APPROVED"))</x:f>
      </x:c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>
        <x:f>IF(G61="","",LEFT(G61,7))</x:f>
      </x:c>
      <x:c r="I61" s="14" t="str">
        <x:f>IF(G61="","",LEFT(G61,4))</x:f>
      </x:c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str"/>
      <x:c r="T61" s="14" t="str"/>
      <x:c r="U61" s="14" t="str"/>
      <x:c r="V61" s="14" t="str"/>
      <x:c r="W61" s="14" t="str"/>
      <x:c r="X61" s="14" t="str">
        <x:f>IF(OR(L61="",T61=""),"",L61*T61)</x:f>
      </x:c>
      <x:c r="Y61" s="14" t="str">
        <x:f>IF(X61="","",X61/1000)</x:f>
      </x:c>
      <x:c r="Z61" s="14" t="str"/>
      <x:c r="AA61" s="14" t="str"/>
      <x:c r="AB61" s="14" t="str"/>
      <x:c r="AC61" s="14" t="str"/>
      <x:c r="AD61" s="14" t="str"/>
      <x:c r="AE61" s="14" t="str"/>
      <x:c r="AF61" s="14" t="str"/>
      <x:c r="AG61" s="14" t="str"/>
      <x:c r="AH61" s="14" t="str"/>
      <x:c r="AI61" s="14" t="str"/>
      <x:c r="AJ61" t="str">
        <x:f>IF(A61="","",IF(OR(COUNT(L61)=0,M61="",COUNT(T61)=0,U61="",C61="",F61="",G61="",J61="",COUNT(N61)=0,COUNT(O61)=0,AB61="",AD61="",AE61=""),"BLOCK_MISSING_REQUIRED",IF(L61&lt;0,"BLOCK_NEGATIVE_ACTIVITY",IF(AND(M61&lt;&gt;"L",M61&lt;&gt;"kWh",M61&lt;&gt;"km",M61&lt;&gt;"t"),"BLOCK_UNSUPPORTED_UNIT",IF(OR(AND(M61="L",U61&lt;&gt;"kgCO2e/L"),AND(M61="kWh",U61&lt;&gt;"kgCO2e/kWh"),AND(M61="km",U61&lt;&gt;"kgCO2e/km"),AND(M61="t",U61&lt;&gt;"kgCO2e/t")),"BLOCK_UNIT_MISMATCH",IF(COUNTIF($A$2:$A$101,A61)&gt;1,"BLOCK_DUPLICATE_LEDGER_ID",IF(AN61&lt;&gt;"PASS_UNIQUE_PHYSICAL_TRIP","BLOCK_POSSIBLE_PHYSICAL_DUPLICATE",IF(AND(Z61="simulated",AA61="yes"),"PASS_SIMULATED_ONLY",IF(AND(Z61="actual",AA61&lt;&gt;"yes",W61="factor_verified",AB61&lt;&gt;"",AD61&lt;&gt;"",AE61&lt;&gt;""),"PASS_FORMAL_PRECHECK","REVIEW_DATA_STATUS")))))))))</x:f>
      </x:c>
      <x:c r="AK61" t="str">
        <x:f>IF(AJ61="","",IF(AJ61="BLOCK_MISSING_REQUIRED","缺少活动量/单位/因子/趟次关键字段/证据标识",IF(AJ61="BLOCK_NEGATIVE_ACTIVITY","活动量为负，禁止进入汇总",IF(AJ61="BLOCK_UNSUPPORTED_UNIT","活动单位不在允许单位白名单中",IF(AJ61="BLOCK_UNIT_MISMATCH","活动单位与因子单位不匹配",IF(AJ61="BLOCK_DUPLICATE_LEDGER_ID","台账行ID重复，需复核",IF(AJ61="BLOCK_POSSIBLE_PHYSICAL_DUPLICATE","疑似同一物理趟次/来源行重复，冻结汇总并复核",IF(AJ61="PASS_SIMULATED_ONLY","结构检查通过，但仅供 simulated 测试",IF(AJ61="PASS_FORMAL_PRECHECK","通过结构预检；仍需人工/负责人审批","数据状态需人工复核")))))))))</x:f>
      </x:c>
      <x:c r="AL61" t="str">
        <x:f>IF(A61="","",IF(OR(Z61="simulated",AA61="yes",W61&lt;&gt;"factor_verified",AJ61&lt;&gt;"PASS_FORMAL_PRECHECK",AB61="",AD61="",AE61=""),"NOT_FORMAL_USE","ELIGIBLE_FOR_REVIEW_NOT_APPROVED"))</x:f>
      </x:c>
      <x:c r="AM61" s="12" t="str">
        <x:f>IF(OR(F61="",G61="",J61="",COUNT(L61)=0,M61="",COUNT(N61)=0,COUNT(O61)=0),"",UPPER(F61&amp;"|"&amp;G61&amp;"|"&amp;J61&amp;"|"&amp;TEXT(N61,"0.000")&amp;"|"&amp;TEXT(O61,"0.000")&amp;"|"&amp;TEXT(L61,"0.000")&amp;"|"&amp;M61))</x:f>
      </x:c>
      <x:c r="AN61" s="12" t="str">
        <x:f>IF(A61="","",IF(OR(COUNTIF($C$2:$C$101,C61)&gt;1,AND(AE61&lt;&gt;"",COUNTIF($AE$2:$AE$101,AE61)&gt;1),AND(AM61&lt;&gt;"",COUNTIF($AM$2:$AM$101,AM61)&gt;1)),"BLOCK_POSSIBLE_PHYSICAL_DUPLICATE","PASS_UNIQUE_PHYSICAL_TRIP"))</x:f>
      </x:c>
      <x:c r="AO61" s="12"/>
      <x:c r="AP61" s="12" t="str">
        <x:f>IF(A61="","",IF(AND(Z61="actual",AA61&lt;&gt;"yes",W61="factor_verified",AJ61="PASS_FORMAL_PRECHECK",AN61="PASS_UNIQUE_PHYSICAL_TRIP",AO61="approved",AB61&lt;&gt;"",AD61&lt;&gt;"",AE61&lt;&gt;""),"FORMAL_APPROVED","EXCLUDED_NOT_FORMALLY_APPROVED"))</x:f>
      </x:c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>
        <x:f>IF(G62="","",LEFT(G62,7))</x:f>
      </x:c>
      <x:c r="I62" s="14" t="str">
        <x:f>IF(G62="","",LEFT(G62,4))</x:f>
      </x:c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  <x:c r="T62" s="14" t="str"/>
      <x:c r="U62" s="14" t="str"/>
      <x:c r="V62" s="14" t="str"/>
      <x:c r="W62" s="14" t="str"/>
      <x:c r="X62" s="14" t="str">
        <x:f>IF(OR(L62="",T62=""),"",L62*T62)</x:f>
      </x:c>
      <x:c r="Y62" s="14" t="str">
        <x:f>IF(X62="","",X62/1000)</x:f>
      </x:c>
      <x:c r="Z62" s="14" t="str"/>
      <x:c r="AA62" s="14" t="str"/>
      <x:c r="AB62" s="14" t="str"/>
      <x:c r="AC62" s="14" t="str"/>
      <x:c r="AD62" s="14" t="str"/>
      <x:c r="AE62" s="14" t="str"/>
      <x:c r="AF62" s="14" t="str"/>
      <x:c r="AG62" s="14" t="str"/>
      <x:c r="AH62" s="14" t="str"/>
      <x:c r="AI62" s="14" t="str"/>
      <x:c r="AJ62" t="str">
        <x:f>IF(A62="","",IF(OR(COUNT(L62)=0,M62="",COUNT(T62)=0,U62="",C62="",F62="",G62="",J62="",COUNT(N62)=0,COUNT(O62)=0,AB62="",AD62="",AE62=""),"BLOCK_MISSING_REQUIRED",IF(L62&lt;0,"BLOCK_NEGATIVE_ACTIVITY",IF(AND(M62&lt;&gt;"L",M62&lt;&gt;"kWh",M62&lt;&gt;"km",M62&lt;&gt;"t"),"BLOCK_UNSUPPORTED_UNIT",IF(OR(AND(M62="L",U62&lt;&gt;"kgCO2e/L"),AND(M62="kWh",U62&lt;&gt;"kgCO2e/kWh"),AND(M62="km",U62&lt;&gt;"kgCO2e/km"),AND(M62="t",U62&lt;&gt;"kgCO2e/t")),"BLOCK_UNIT_MISMATCH",IF(COUNTIF($A$2:$A$101,A62)&gt;1,"BLOCK_DUPLICATE_LEDGER_ID",IF(AN62&lt;&gt;"PASS_UNIQUE_PHYSICAL_TRIP","BLOCK_POSSIBLE_PHYSICAL_DUPLICATE",IF(AND(Z62="simulated",AA62="yes"),"PASS_SIMULATED_ONLY",IF(AND(Z62="actual",AA62&lt;&gt;"yes",W62="factor_verified",AB62&lt;&gt;"",AD62&lt;&gt;"",AE62&lt;&gt;""),"PASS_FORMAL_PRECHECK","REVIEW_DATA_STATUS")))))))))</x:f>
      </x:c>
      <x:c r="AK62" t="str">
        <x:f>IF(AJ62="","",IF(AJ62="BLOCK_MISSING_REQUIRED","缺少活动量/单位/因子/趟次关键字段/证据标识",IF(AJ62="BLOCK_NEGATIVE_ACTIVITY","活动量为负，禁止进入汇总",IF(AJ62="BLOCK_UNSUPPORTED_UNIT","活动单位不在允许单位白名单中",IF(AJ62="BLOCK_UNIT_MISMATCH","活动单位与因子单位不匹配",IF(AJ62="BLOCK_DUPLICATE_LEDGER_ID","台账行ID重复，需复核",IF(AJ62="BLOCK_POSSIBLE_PHYSICAL_DUPLICATE","疑似同一物理趟次/来源行重复，冻结汇总并复核",IF(AJ62="PASS_SIMULATED_ONLY","结构检查通过，但仅供 simulated 测试",IF(AJ62="PASS_FORMAL_PRECHECK","通过结构预检；仍需人工/负责人审批","数据状态需人工复核")))))))))</x:f>
      </x:c>
      <x:c r="AL62" t="str">
        <x:f>IF(A62="","",IF(OR(Z62="simulated",AA62="yes",W62&lt;&gt;"factor_verified",AJ62&lt;&gt;"PASS_FORMAL_PRECHECK",AB62="",AD62="",AE62=""),"NOT_FORMAL_USE","ELIGIBLE_FOR_REVIEW_NOT_APPROVED"))</x:f>
      </x:c>
      <x:c r="AM62" s="12" t="str">
        <x:f>IF(OR(F62="",G62="",J62="",COUNT(L62)=0,M62="",COUNT(N62)=0,COUNT(O62)=0),"",UPPER(F62&amp;"|"&amp;G62&amp;"|"&amp;J62&amp;"|"&amp;TEXT(N62,"0.000")&amp;"|"&amp;TEXT(O62,"0.000")&amp;"|"&amp;TEXT(L62,"0.000")&amp;"|"&amp;M62))</x:f>
      </x:c>
      <x:c r="AN62" s="12" t="str">
        <x:f>IF(A62="","",IF(OR(COUNTIF($C$2:$C$101,C62)&gt;1,AND(AE62&lt;&gt;"",COUNTIF($AE$2:$AE$101,AE62)&gt;1),AND(AM62&lt;&gt;"",COUNTIF($AM$2:$AM$101,AM62)&gt;1)),"BLOCK_POSSIBLE_PHYSICAL_DUPLICATE","PASS_UNIQUE_PHYSICAL_TRIP"))</x:f>
      </x:c>
      <x:c r="AO62" s="12"/>
      <x:c r="AP62" s="12" t="str">
        <x:f>IF(A62="","",IF(AND(Z62="actual",AA62&lt;&gt;"yes",W62="factor_verified",AJ62="PASS_FORMAL_PRECHECK",AN62="PASS_UNIQUE_PHYSICAL_TRIP",AO62="approved",AB62&lt;&gt;"",AD62&lt;&gt;"",AE62&lt;&gt;""),"FORMAL_APPROVED","EXCLUDED_NOT_FORMALLY_APPROVED"))</x:f>
      </x:c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>
        <x:f>IF(G63="","",LEFT(G63,7))</x:f>
      </x:c>
      <x:c r="I63" s="14" t="str">
        <x:f>IF(G63="","",LEFT(G63,4))</x:f>
      </x:c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  <x:c r="T63" s="14" t="str"/>
      <x:c r="U63" s="14" t="str"/>
      <x:c r="V63" s="14" t="str"/>
      <x:c r="W63" s="14" t="str"/>
      <x:c r="X63" s="14" t="str">
        <x:f>IF(OR(L63="",T63=""),"",L63*T63)</x:f>
      </x:c>
      <x:c r="Y63" s="14" t="str">
        <x:f>IF(X63="","",X63/1000)</x:f>
      </x:c>
      <x:c r="Z63" s="14" t="str"/>
      <x:c r="AA63" s="14" t="str"/>
      <x:c r="AB63" s="14" t="str"/>
      <x:c r="AC63" s="14" t="str"/>
      <x:c r="AD63" s="14" t="str"/>
      <x:c r="AE63" s="14" t="str"/>
      <x:c r="AF63" s="14" t="str"/>
      <x:c r="AG63" s="14" t="str"/>
      <x:c r="AH63" s="14" t="str"/>
      <x:c r="AI63" s="14" t="str"/>
      <x:c r="AJ63" t="str">
        <x:f>IF(A63="","",IF(OR(COUNT(L63)=0,M63="",COUNT(T63)=0,U63="",C63="",F63="",G63="",J63="",COUNT(N63)=0,COUNT(O63)=0,AB63="",AD63="",AE63=""),"BLOCK_MISSING_REQUIRED",IF(L63&lt;0,"BLOCK_NEGATIVE_ACTIVITY",IF(AND(M63&lt;&gt;"L",M63&lt;&gt;"kWh",M63&lt;&gt;"km",M63&lt;&gt;"t"),"BLOCK_UNSUPPORTED_UNIT",IF(OR(AND(M63="L",U63&lt;&gt;"kgCO2e/L"),AND(M63="kWh",U63&lt;&gt;"kgCO2e/kWh"),AND(M63="km",U63&lt;&gt;"kgCO2e/km"),AND(M63="t",U63&lt;&gt;"kgCO2e/t")),"BLOCK_UNIT_MISMATCH",IF(COUNTIF($A$2:$A$101,A63)&gt;1,"BLOCK_DUPLICATE_LEDGER_ID",IF(AN63&lt;&gt;"PASS_UNIQUE_PHYSICAL_TRIP","BLOCK_POSSIBLE_PHYSICAL_DUPLICATE",IF(AND(Z63="simulated",AA63="yes"),"PASS_SIMULATED_ONLY",IF(AND(Z63="actual",AA63&lt;&gt;"yes",W63="factor_verified",AB63&lt;&gt;"",AD63&lt;&gt;"",AE63&lt;&gt;""),"PASS_FORMAL_PRECHECK","REVIEW_DATA_STATUS")))))))))</x:f>
      </x:c>
      <x:c r="AK63" t="str">
        <x:f>IF(AJ63="","",IF(AJ63="BLOCK_MISSING_REQUIRED","缺少活动量/单位/因子/趟次关键字段/证据标识",IF(AJ63="BLOCK_NEGATIVE_ACTIVITY","活动量为负，禁止进入汇总",IF(AJ63="BLOCK_UNSUPPORTED_UNIT","活动单位不在允许单位白名单中",IF(AJ63="BLOCK_UNIT_MISMATCH","活动单位与因子单位不匹配",IF(AJ63="BLOCK_DUPLICATE_LEDGER_ID","台账行ID重复，需复核",IF(AJ63="BLOCK_POSSIBLE_PHYSICAL_DUPLICATE","疑似同一物理趟次/来源行重复，冻结汇总并复核",IF(AJ63="PASS_SIMULATED_ONLY","结构检查通过，但仅供 simulated 测试",IF(AJ63="PASS_FORMAL_PRECHECK","通过结构预检；仍需人工/负责人审批","数据状态需人工复核")))))))))</x:f>
      </x:c>
      <x:c r="AL63" t="str">
        <x:f>IF(A63="","",IF(OR(Z63="simulated",AA63="yes",W63&lt;&gt;"factor_verified",AJ63&lt;&gt;"PASS_FORMAL_PRECHECK",AB63="",AD63="",AE63=""),"NOT_FORMAL_USE","ELIGIBLE_FOR_REVIEW_NOT_APPROVED"))</x:f>
      </x:c>
      <x:c r="AM63" s="12" t="str">
        <x:f>IF(OR(F63="",G63="",J63="",COUNT(L63)=0,M63="",COUNT(N63)=0,COUNT(O63)=0),"",UPPER(F63&amp;"|"&amp;G63&amp;"|"&amp;J63&amp;"|"&amp;TEXT(N63,"0.000")&amp;"|"&amp;TEXT(O63,"0.000")&amp;"|"&amp;TEXT(L63,"0.000")&amp;"|"&amp;M63))</x:f>
      </x:c>
      <x:c r="AN63" s="12" t="str">
        <x:f>IF(A63="","",IF(OR(COUNTIF($C$2:$C$101,C63)&gt;1,AND(AE63&lt;&gt;"",COUNTIF($AE$2:$AE$101,AE63)&gt;1),AND(AM63&lt;&gt;"",COUNTIF($AM$2:$AM$101,AM63)&gt;1)),"BLOCK_POSSIBLE_PHYSICAL_DUPLICATE","PASS_UNIQUE_PHYSICAL_TRIP"))</x:f>
      </x:c>
      <x:c r="AO63" s="12"/>
      <x:c r="AP63" s="12" t="str">
        <x:f>IF(A63="","",IF(AND(Z63="actual",AA63&lt;&gt;"yes",W63="factor_verified",AJ63="PASS_FORMAL_PRECHECK",AN63="PASS_UNIQUE_PHYSICAL_TRIP",AO63="approved",AB63&lt;&gt;"",AD63&lt;&gt;"",AE63&lt;&gt;""),"FORMAL_APPROVED","EXCLUDED_NOT_FORMALLY_APPROVED"))</x:f>
      </x:c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>
        <x:f>IF(G64="","",LEFT(G64,7))</x:f>
      </x:c>
      <x:c r="I64" s="14" t="str">
        <x:f>IF(G64="","",LEFT(G64,4))</x:f>
      </x:c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  <x:c r="T64" s="14" t="str"/>
      <x:c r="U64" s="14" t="str"/>
      <x:c r="V64" s="14" t="str"/>
      <x:c r="W64" s="14" t="str"/>
      <x:c r="X64" s="14" t="str">
        <x:f>IF(OR(L64="",T64=""),"",L64*T64)</x:f>
      </x:c>
      <x:c r="Y64" s="14" t="str">
        <x:f>IF(X64="","",X64/1000)</x:f>
      </x:c>
      <x:c r="Z64" s="14" t="str"/>
      <x:c r="AA64" s="14" t="str"/>
      <x:c r="AB64" s="14" t="str"/>
      <x:c r="AC64" s="14" t="str"/>
      <x:c r="AD64" s="14" t="str"/>
      <x:c r="AE64" s="14" t="str"/>
      <x:c r="AF64" s="14" t="str"/>
      <x:c r="AG64" s="14" t="str"/>
      <x:c r="AH64" s="14" t="str"/>
      <x:c r="AI64" s="14" t="str"/>
      <x:c r="AJ64" t="str">
        <x:f>IF(A64="","",IF(OR(COUNT(L64)=0,M64="",COUNT(T64)=0,U64="",C64="",F64="",G64="",J64="",COUNT(N64)=0,COUNT(O64)=0,AB64="",AD64="",AE64=""),"BLOCK_MISSING_REQUIRED",IF(L64&lt;0,"BLOCK_NEGATIVE_ACTIVITY",IF(AND(M64&lt;&gt;"L",M64&lt;&gt;"kWh",M64&lt;&gt;"km",M64&lt;&gt;"t"),"BLOCK_UNSUPPORTED_UNIT",IF(OR(AND(M64="L",U64&lt;&gt;"kgCO2e/L"),AND(M64="kWh",U64&lt;&gt;"kgCO2e/kWh"),AND(M64="km",U64&lt;&gt;"kgCO2e/km"),AND(M64="t",U64&lt;&gt;"kgCO2e/t")),"BLOCK_UNIT_MISMATCH",IF(COUNTIF($A$2:$A$101,A64)&gt;1,"BLOCK_DUPLICATE_LEDGER_ID",IF(AN64&lt;&gt;"PASS_UNIQUE_PHYSICAL_TRIP","BLOCK_POSSIBLE_PHYSICAL_DUPLICATE",IF(AND(Z64="simulated",AA64="yes"),"PASS_SIMULATED_ONLY",IF(AND(Z64="actual",AA64&lt;&gt;"yes",W64="factor_verified",AB64&lt;&gt;"",AD64&lt;&gt;"",AE64&lt;&gt;""),"PASS_FORMAL_PRECHECK","REVIEW_DATA_STATUS")))))))))</x:f>
      </x:c>
      <x:c r="AK64" t="str">
        <x:f>IF(AJ64="","",IF(AJ64="BLOCK_MISSING_REQUIRED","缺少活动量/单位/因子/趟次关键字段/证据标识",IF(AJ64="BLOCK_NEGATIVE_ACTIVITY","活动量为负，禁止进入汇总",IF(AJ64="BLOCK_UNSUPPORTED_UNIT","活动单位不在允许单位白名单中",IF(AJ64="BLOCK_UNIT_MISMATCH","活动单位与因子单位不匹配",IF(AJ64="BLOCK_DUPLICATE_LEDGER_ID","台账行ID重复，需复核",IF(AJ64="BLOCK_POSSIBLE_PHYSICAL_DUPLICATE","疑似同一物理趟次/来源行重复，冻结汇总并复核",IF(AJ64="PASS_SIMULATED_ONLY","结构检查通过，但仅供 simulated 测试",IF(AJ64="PASS_FORMAL_PRECHECK","通过结构预检；仍需人工/负责人审批","数据状态需人工复核")))))))))</x:f>
      </x:c>
      <x:c r="AL64" t="str">
        <x:f>IF(A64="","",IF(OR(Z64="simulated",AA64="yes",W64&lt;&gt;"factor_verified",AJ64&lt;&gt;"PASS_FORMAL_PRECHECK",AB64="",AD64="",AE64=""),"NOT_FORMAL_USE","ELIGIBLE_FOR_REVIEW_NOT_APPROVED"))</x:f>
      </x:c>
      <x:c r="AM64" s="12" t="str">
        <x:f>IF(OR(F64="",G64="",J64="",COUNT(L64)=0,M64="",COUNT(N64)=0,COUNT(O64)=0),"",UPPER(F64&amp;"|"&amp;G64&amp;"|"&amp;J64&amp;"|"&amp;TEXT(N64,"0.000")&amp;"|"&amp;TEXT(O64,"0.000")&amp;"|"&amp;TEXT(L64,"0.000")&amp;"|"&amp;M64))</x:f>
      </x:c>
      <x:c r="AN64" s="12" t="str">
        <x:f>IF(A64="","",IF(OR(COUNTIF($C$2:$C$101,C64)&gt;1,AND(AE64&lt;&gt;"",COUNTIF($AE$2:$AE$101,AE64)&gt;1),AND(AM64&lt;&gt;"",COUNTIF($AM$2:$AM$101,AM64)&gt;1)),"BLOCK_POSSIBLE_PHYSICAL_DUPLICATE","PASS_UNIQUE_PHYSICAL_TRIP"))</x:f>
      </x:c>
      <x:c r="AO64" s="12"/>
      <x:c r="AP64" s="12" t="str">
        <x:f>IF(A64="","",IF(AND(Z64="actual",AA64&lt;&gt;"yes",W64="factor_verified",AJ64="PASS_FORMAL_PRECHECK",AN64="PASS_UNIQUE_PHYSICAL_TRIP",AO64="approved",AB64&lt;&gt;"",AD64&lt;&gt;"",AE64&lt;&gt;""),"FORMAL_APPROVED","EXCLUDED_NOT_FORMALLY_APPROVED"))</x:f>
      </x:c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>
        <x:f>IF(G65="","",LEFT(G65,7))</x:f>
      </x:c>
      <x:c r="I65" s="14" t="str">
        <x:f>IF(G65="","",LEFT(G65,4))</x:f>
      </x:c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str"/>
      <x:c r="T65" s="14" t="str"/>
      <x:c r="U65" s="14" t="str"/>
      <x:c r="V65" s="14" t="str"/>
      <x:c r="W65" s="14" t="str"/>
      <x:c r="X65" s="14" t="str">
        <x:f>IF(OR(L65="",T65=""),"",L65*T65)</x:f>
      </x:c>
      <x:c r="Y65" s="14" t="str">
        <x:f>IF(X65="","",X65/1000)</x:f>
      </x:c>
      <x:c r="Z65" s="14" t="str"/>
      <x:c r="AA65" s="14" t="str"/>
      <x:c r="AB65" s="14" t="str"/>
      <x:c r="AC65" s="14" t="str"/>
      <x:c r="AD65" s="14" t="str"/>
      <x:c r="AE65" s="14" t="str"/>
      <x:c r="AF65" s="14" t="str"/>
      <x:c r="AG65" s="14" t="str"/>
      <x:c r="AH65" s="14" t="str"/>
      <x:c r="AI65" s="14" t="str"/>
      <x:c r="AJ65" t="str">
        <x:f>IF(A65="","",IF(OR(COUNT(L65)=0,M65="",COUNT(T65)=0,U65="",C65="",F65="",G65="",J65="",COUNT(N65)=0,COUNT(O65)=0,AB65="",AD65="",AE65=""),"BLOCK_MISSING_REQUIRED",IF(L65&lt;0,"BLOCK_NEGATIVE_ACTIVITY",IF(AND(M65&lt;&gt;"L",M65&lt;&gt;"kWh",M65&lt;&gt;"km",M65&lt;&gt;"t"),"BLOCK_UNSUPPORTED_UNIT",IF(OR(AND(M65="L",U65&lt;&gt;"kgCO2e/L"),AND(M65="kWh",U65&lt;&gt;"kgCO2e/kWh"),AND(M65="km",U65&lt;&gt;"kgCO2e/km"),AND(M65="t",U65&lt;&gt;"kgCO2e/t")),"BLOCK_UNIT_MISMATCH",IF(COUNTIF($A$2:$A$101,A65)&gt;1,"BLOCK_DUPLICATE_LEDGER_ID",IF(AN65&lt;&gt;"PASS_UNIQUE_PHYSICAL_TRIP","BLOCK_POSSIBLE_PHYSICAL_DUPLICATE",IF(AND(Z65="simulated",AA65="yes"),"PASS_SIMULATED_ONLY",IF(AND(Z65="actual",AA65&lt;&gt;"yes",W65="factor_verified",AB65&lt;&gt;"",AD65&lt;&gt;"",AE65&lt;&gt;""),"PASS_FORMAL_PRECHECK","REVIEW_DATA_STATUS")))))))))</x:f>
      </x:c>
      <x:c r="AK65" t="str">
        <x:f>IF(AJ65="","",IF(AJ65="BLOCK_MISSING_REQUIRED","缺少活动量/单位/因子/趟次关键字段/证据标识",IF(AJ65="BLOCK_NEGATIVE_ACTIVITY","活动量为负，禁止进入汇总",IF(AJ65="BLOCK_UNSUPPORTED_UNIT","活动单位不在允许单位白名单中",IF(AJ65="BLOCK_UNIT_MISMATCH","活动单位与因子单位不匹配",IF(AJ65="BLOCK_DUPLICATE_LEDGER_ID","台账行ID重复，需复核",IF(AJ65="BLOCK_POSSIBLE_PHYSICAL_DUPLICATE","疑似同一物理趟次/来源行重复，冻结汇总并复核",IF(AJ65="PASS_SIMULATED_ONLY","结构检查通过，但仅供 simulated 测试",IF(AJ65="PASS_FORMAL_PRECHECK","通过结构预检；仍需人工/负责人审批","数据状态需人工复核")))))))))</x:f>
      </x:c>
      <x:c r="AL65" t="str">
        <x:f>IF(A65="","",IF(OR(Z65="simulated",AA65="yes",W65&lt;&gt;"factor_verified",AJ65&lt;&gt;"PASS_FORMAL_PRECHECK",AB65="",AD65="",AE65=""),"NOT_FORMAL_USE","ELIGIBLE_FOR_REVIEW_NOT_APPROVED"))</x:f>
      </x:c>
      <x:c r="AM65" s="12" t="str">
        <x:f>IF(OR(F65="",G65="",J65="",COUNT(L65)=0,M65="",COUNT(N65)=0,COUNT(O65)=0),"",UPPER(F65&amp;"|"&amp;G65&amp;"|"&amp;J65&amp;"|"&amp;TEXT(N65,"0.000")&amp;"|"&amp;TEXT(O65,"0.000")&amp;"|"&amp;TEXT(L65,"0.000")&amp;"|"&amp;M65))</x:f>
      </x:c>
      <x:c r="AN65" s="12" t="str">
        <x:f>IF(A65="","",IF(OR(COUNTIF($C$2:$C$101,C65)&gt;1,AND(AE65&lt;&gt;"",COUNTIF($AE$2:$AE$101,AE65)&gt;1),AND(AM65&lt;&gt;"",COUNTIF($AM$2:$AM$101,AM65)&gt;1)),"BLOCK_POSSIBLE_PHYSICAL_DUPLICATE","PASS_UNIQUE_PHYSICAL_TRIP"))</x:f>
      </x:c>
      <x:c r="AO65" s="12"/>
      <x:c r="AP65" s="12" t="str">
        <x:f>IF(A65="","",IF(AND(Z65="actual",AA65&lt;&gt;"yes",W65="factor_verified",AJ65="PASS_FORMAL_PRECHECK",AN65="PASS_UNIQUE_PHYSICAL_TRIP",AO65="approved",AB65&lt;&gt;"",AD65&lt;&gt;"",AE65&lt;&gt;""),"FORMAL_APPROVED","EXCLUDED_NOT_FORMALLY_APPROVED"))</x:f>
      </x:c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>
        <x:f>IF(G66="","",LEFT(G66,7))</x:f>
      </x:c>
      <x:c r="I66" s="14" t="str">
        <x:f>IF(G66="","",LEFT(G66,4))</x:f>
      </x:c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  <x:c r="T66" s="14" t="str"/>
      <x:c r="U66" s="14" t="str"/>
      <x:c r="V66" s="14" t="str"/>
      <x:c r="W66" s="14" t="str"/>
      <x:c r="X66" s="14" t="str">
        <x:f>IF(OR(L66="",T66=""),"",L66*T66)</x:f>
      </x:c>
      <x:c r="Y66" s="14" t="str">
        <x:f>IF(X66="","",X66/1000)</x:f>
      </x:c>
      <x:c r="Z66" s="14" t="str"/>
      <x:c r="AA66" s="14" t="str"/>
      <x:c r="AB66" s="14" t="str"/>
      <x:c r="AC66" s="14" t="str"/>
      <x:c r="AD66" s="14" t="str"/>
      <x:c r="AE66" s="14" t="str"/>
      <x:c r="AF66" s="14" t="str"/>
      <x:c r="AG66" s="14" t="str"/>
      <x:c r="AH66" s="14" t="str"/>
      <x:c r="AI66" s="14" t="str"/>
      <x:c r="AJ66" t="str">
        <x:f>IF(A66="","",IF(OR(COUNT(L66)=0,M66="",COUNT(T66)=0,U66="",C66="",F66="",G66="",J66="",COUNT(N66)=0,COUNT(O66)=0,AB66="",AD66="",AE66=""),"BLOCK_MISSING_REQUIRED",IF(L66&lt;0,"BLOCK_NEGATIVE_ACTIVITY",IF(AND(M66&lt;&gt;"L",M66&lt;&gt;"kWh",M66&lt;&gt;"km",M66&lt;&gt;"t"),"BLOCK_UNSUPPORTED_UNIT",IF(OR(AND(M66="L",U66&lt;&gt;"kgCO2e/L"),AND(M66="kWh",U66&lt;&gt;"kgCO2e/kWh"),AND(M66="km",U66&lt;&gt;"kgCO2e/km"),AND(M66="t",U66&lt;&gt;"kgCO2e/t")),"BLOCK_UNIT_MISMATCH",IF(COUNTIF($A$2:$A$101,A66)&gt;1,"BLOCK_DUPLICATE_LEDGER_ID",IF(AN66&lt;&gt;"PASS_UNIQUE_PHYSICAL_TRIP","BLOCK_POSSIBLE_PHYSICAL_DUPLICATE",IF(AND(Z66="simulated",AA66="yes"),"PASS_SIMULATED_ONLY",IF(AND(Z66="actual",AA66&lt;&gt;"yes",W66="factor_verified",AB66&lt;&gt;"",AD66&lt;&gt;"",AE66&lt;&gt;""),"PASS_FORMAL_PRECHECK","REVIEW_DATA_STATUS")))))))))</x:f>
      </x:c>
      <x:c r="AK66" t="str">
        <x:f>IF(AJ66="","",IF(AJ66="BLOCK_MISSING_REQUIRED","缺少活动量/单位/因子/趟次关键字段/证据标识",IF(AJ66="BLOCK_NEGATIVE_ACTIVITY","活动量为负，禁止进入汇总",IF(AJ66="BLOCK_UNSUPPORTED_UNIT","活动单位不在允许单位白名单中",IF(AJ66="BLOCK_UNIT_MISMATCH","活动单位与因子单位不匹配",IF(AJ66="BLOCK_DUPLICATE_LEDGER_ID","台账行ID重复，需复核",IF(AJ66="BLOCK_POSSIBLE_PHYSICAL_DUPLICATE","疑似同一物理趟次/来源行重复，冻结汇总并复核",IF(AJ66="PASS_SIMULATED_ONLY","结构检查通过，但仅供 simulated 测试",IF(AJ66="PASS_FORMAL_PRECHECK","通过结构预检；仍需人工/负责人审批","数据状态需人工复核")))))))))</x:f>
      </x:c>
      <x:c r="AL66" t="str">
        <x:f>IF(A66="","",IF(OR(Z66="simulated",AA66="yes",W66&lt;&gt;"factor_verified",AJ66&lt;&gt;"PASS_FORMAL_PRECHECK",AB66="",AD66="",AE66=""),"NOT_FORMAL_USE","ELIGIBLE_FOR_REVIEW_NOT_APPROVED"))</x:f>
      </x:c>
      <x:c r="AM66" s="12" t="str">
        <x:f>IF(OR(F66="",G66="",J66="",COUNT(L66)=0,M66="",COUNT(N66)=0,COUNT(O66)=0),"",UPPER(F66&amp;"|"&amp;G66&amp;"|"&amp;J66&amp;"|"&amp;TEXT(N66,"0.000")&amp;"|"&amp;TEXT(O66,"0.000")&amp;"|"&amp;TEXT(L66,"0.000")&amp;"|"&amp;M66))</x:f>
      </x:c>
      <x:c r="AN66" s="12" t="str">
        <x:f>IF(A66="","",IF(OR(COUNTIF($C$2:$C$101,C66)&gt;1,AND(AE66&lt;&gt;"",COUNTIF($AE$2:$AE$101,AE66)&gt;1),AND(AM66&lt;&gt;"",COUNTIF($AM$2:$AM$101,AM66)&gt;1)),"BLOCK_POSSIBLE_PHYSICAL_DUPLICATE","PASS_UNIQUE_PHYSICAL_TRIP"))</x:f>
      </x:c>
      <x:c r="AO66" s="12"/>
      <x:c r="AP66" s="12" t="str">
        <x:f>IF(A66="","",IF(AND(Z66="actual",AA66&lt;&gt;"yes",W66="factor_verified",AJ66="PASS_FORMAL_PRECHECK",AN66="PASS_UNIQUE_PHYSICAL_TRIP",AO66="approved",AB66&lt;&gt;"",AD66&lt;&gt;"",AE66&lt;&gt;""),"FORMAL_APPROVED","EXCLUDED_NOT_FORMALLY_APPROVED"))</x:f>
      </x:c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>
        <x:f>IF(G67="","",LEFT(G67,7))</x:f>
      </x:c>
      <x:c r="I67" s="14" t="str">
        <x:f>IF(G67="","",LEFT(G67,4))</x:f>
      </x:c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  <x:c r="T67" s="14" t="str"/>
      <x:c r="U67" s="14" t="str"/>
      <x:c r="V67" s="14" t="str"/>
      <x:c r="W67" s="14" t="str"/>
      <x:c r="X67" s="14" t="str">
        <x:f>IF(OR(L67="",T67=""),"",L67*T67)</x:f>
      </x:c>
      <x:c r="Y67" s="14" t="str">
        <x:f>IF(X67="","",X67/1000)</x:f>
      </x:c>
      <x:c r="Z67" s="14" t="str"/>
      <x:c r="AA67" s="14" t="str"/>
      <x:c r="AB67" s="14" t="str"/>
      <x:c r="AC67" s="14" t="str"/>
      <x:c r="AD67" s="14" t="str"/>
      <x:c r="AE67" s="14" t="str"/>
      <x:c r="AF67" s="14" t="str"/>
      <x:c r="AG67" s="14" t="str"/>
      <x:c r="AH67" s="14" t="str"/>
      <x:c r="AI67" s="14" t="str"/>
      <x:c r="AJ67" t="str">
        <x:f>IF(A67="","",IF(OR(COUNT(L67)=0,M67="",COUNT(T67)=0,U67="",C67="",F67="",G67="",J67="",COUNT(N67)=0,COUNT(O67)=0,AB67="",AD67="",AE67=""),"BLOCK_MISSING_REQUIRED",IF(L67&lt;0,"BLOCK_NEGATIVE_ACTIVITY",IF(AND(M67&lt;&gt;"L",M67&lt;&gt;"kWh",M67&lt;&gt;"km",M67&lt;&gt;"t"),"BLOCK_UNSUPPORTED_UNIT",IF(OR(AND(M67="L",U67&lt;&gt;"kgCO2e/L"),AND(M67="kWh",U67&lt;&gt;"kgCO2e/kWh"),AND(M67="km",U67&lt;&gt;"kgCO2e/km"),AND(M67="t",U67&lt;&gt;"kgCO2e/t")),"BLOCK_UNIT_MISMATCH",IF(COUNTIF($A$2:$A$101,A67)&gt;1,"BLOCK_DUPLICATE_LEDGER_ID",IF(AN67&lt;&gt;"PASS_UNIQUE_PHYSICAL_TRIP","BLOCK_POSSIBLE_PHYSICAL_DUPLICATE",IF(AND(Z67="simulated",AA67="yes"),"PASS_SIMULATED_ONLY",IF(AND(Z67="actual",AA67&lt;&gt;"yes",W67="factor_verified",AB67&lt;&gt;"",AD67&lt;&gt;"",AE67&lt;&gt;""),"PASS_FORMAL_PRECHECK","REVIEW_DATA_STATUS")))))))))</x:f>
      </x:c>
      <x:c r="AK67" t="str">
        <x:f>IF(AJ67="","",IF(AJ67="BLOCK_MISSING_REQUIRED","缺少活动量/单位/因子/趟次关键字段/证据标识",IF(AJ67="BLOCK_NEGATIVE_ACTIVITY","活动量为负，禁止进入汇总",IF(AJ67="BLOCK_UNSUPPORTED_UNIT","活动单位不在允许单位白名单中",IF(AJ67="BLOCK_UNIT_MISMATCH","活动单位与因子单位不匹配",IF(AJ67="BLOCK_DUPLICATE_LEDGER_ID","台账行ID重复，需复核",IF(AJ67="BLOCK_POSSIBLE_PHYSICAL_DUPLICATE","疑似同一物理趟次/来源行重复，冻结汇总并复核",IF(AJ67="PASS_SIMULATED_ONLY","结构检查通过，但仅供 simulated 测试",IF(AJ67="PASS_FORMAL_PRECHECK","通过结构预检；仍需人工/负责人审批","数据状态需人工复核")))))))))</x:f>
      </x:c>
      <x:c r="AL67" t="str">
        <x:f>IF(A67="","",IF(OR(Z67="simulated",AA67="yes",W67&lt;&gt;"factor_verified",AJ67&lt;&gt;"PASS_FORMAL_PRECHECK",AB67="",AD67="",AE67=""),"NOT_FORMAL_USE","ELIGIBLE_FOR_REVIEW_NOT_APPROVED"))</x:f>
      </x:c>
      <x:c r="AM67" s="12" t="str">
        <x:f>IF(OR(F67="",G67="",J67="",COUNT(L67)=0,M67="",COUNT(N67)=0,COUNT(O67)=0),"",UPPER(F67&amp;"|"&amp;G67&amp;"|"&amp;J67&amp;"|"&amp;TEXT(N67,"0.000")&amp;"|"&amp;TEXT(O67,"0.000")&amp;"|"&amp;TEXT(L67,"0.000")&amp;"|"&amp;M67))</x:f>
      </x:c>
      <x:c r="AN67" s="12" t="str">
        <x:f>IF(A67="","",IF(OR(COUNTIF($C$2:$C$101,C67)&gt;1,AND(AE67&lt;&gt;"",COUNTIF($AE$2:$AE$101,AE67)&gt;1),AND(AM67&lt;&gt;"",COUNTIF($AM$2:$AM$101,AM67)&gt;1)),"BLOCK_POSSIBLE_PHYSICAL_DUPLICATE","PASS_UNIQUE_PHYSICAL_TRIP"))</x:f>
      </x:c>
      <x:c r="AO67" s="12"/>
      <x:c r="AP67" s="12" t="str">
        <x:f>IF(A67="","",IF(AND(Z67="actual",AA67&lt;&gt;"yes",W67="factor_verified",AJ67="PASS_FORMAL_PRECHECK",AN67="PASS_UNIQUE_PHYSICAL_TRIP",AO67="approved",AB67&lt;&gt;"",AD67&lt;&gt;"",AE67&lt;&gt;""),"FORMAL_APPROVED","EXCLUDED_NOT_FORMALLY_APPROVED"))</x:f>
      </x:c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>
        <x:f>IF(G68="","",LEFT(G68,7))</x:f>
      </x:c>
      <x:c r="I68" s="14" t="str">
        <x:f>IF(G68="","",LEFT(G68,4))</x:f>
      </x:c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  <x:c r="T68" s="14" t="str"/>
      <x:c r="U68" s="14" t="str"/>
      <x:c r="V68" s="14" t="str"/>
      <x:c r="W68" s="14" t="str"/>
      <x:c r="X68" s="14" t="str">
        <x:f>IF(OR(L68="",T68=""),"",L68*T68)</x:f>
      </x:c>
      <x:c r="Y68" s="14" t="str">
        <x:f>IF(X68="","",X68/1000)</x:f>
      </x:c>
      <x:c r="Z68" s="14" t="str"/>
      <x:c r="AA68" s="14" t="str"/>
      <x:c r="AB68" s="14" t="str"/>
      <x:c r="AC68" s="14" t="str"/>
      <x:c r="AD68" s="14" t="str"/>
      <x:c r="AE68" s="14" t="str"/>
      <x:c r="AF68" s="14" t="str"/>
      <x:c r="AG68" s="14" t="str"/>
      <x:c r="AH68" s="14" t="str"/>
      <x:c r="AI68" s="14" t="str"/>
      <x:c r="AJ68" t="str">
        <x:f>IF(A68="","",IF(OR(COUNT(L68)=0,M68="",COUNT(T68)=0,U68="",C68="",F68="",G68="",J68="",COUNT(N68)=0,COUNT(O68)=0,AB68="",AD68="",AE68=""),"BLOCK_MISSING_REQUIRED",IF(L68&lt;0,"BLOCK_NEGATIVE_ACTIVITY",IF(AND(M68&lt;&gt;"L",M68&lt;&gt;"kWh",M68&lt;&gt;"km",M68&lt;&gt;"t"),"BLOCK_UNSUPPORTED_UNIT",IF(OR(AND(M68="L",U68&lt;&gt;"kgCO2e/L"),AND(M68="kWh",U68&lt;&gt;"kgCO2e/kWh"),AND(M68="km",U68&lt;&gt;"kgCO2e/km"),AND(M68="t",U68&lt;&gt;"kgCO2e/t")),"BLOCK_UNIT_MISMATCH",IF(COUNTIF($A$2:$A$101,A68)&gt;1,"BLOCK_DUPLICATE_LEDGER_ID",IF(AN68&lt;&gt;"PASS_UNIQUE_PHYSICAL_TRIP","BLOCK_POSSIBLE_PHYSICAL_DUPLICATE",IF(AND(Z68="simulated",AA68="yes"),"PASS_SIMULATED_ONLY",IF(AND(Z68="actual",AA68&lt;&gt;"yes",W68="factor_verified",AB68&lt;&gt;"",AD68&lt;&gt;"",AE68&lt;&gt;""),"PASS_FORMAL_PRECHECK","REVIEW_DATA_STATUS")))))))))</x:f>
      </x:c>
      <x:c r="AK68" t="str">
        <x:f>IF(AJ68="","",IF(AJ68="BLOCK_MISSING_REQUIRED","缺少活动量/单位/因子/趟次关键字段/证据标识",IF(AJ68="BLOCK_NEGATIVE_ACTIVITY","活动量为负，禁止进入汇总",IF(AJ68="BLOCK_UNSUPPORTED_UNIT","活动单位不在允许单位白名单中",IF(AJ68="BLOCK_UNIT_MISMATCH","活动单位与因子单位不匹配",IF(AJ68="BLOCK_DUPLICATE_LEDGER_ID","台账行ID重复，需复核",IF(AJ68="BLOCK_POSSIBLE_PHYSICAL_DUPLICATE","疑似同一物理趟次/来源行重复，冻结汇总并复核",IF(AJ68="PASS_SIMULATED_ONLY","结构检查通过，但仅供 simulated 测试",IF(AJ68="PASS_FORMAL_PRECHECK","通过结构预检；仍需人工/负责人审批","数据状态需人工复核")))))))))</x:f>
      </x:c>
      <x:c r="AL68" t="str">
        <x:f>IF(A68="","",IF(OR(Z68="simulated",AA68="yes",W68&lt;&gt;"factor_verified",AJ68&lt;&gt;"PASS_FORMAL_PRECHECK",AB68="",AD68="",AE68=""),"NOT_FORMAL_USE","ELIGIBLE_FOR_REVIEW_NOT_APPROVED"))</x:f>
      </x:c>
      <x:c r="AM68" s="12" t="str">
        <x:f>IF(OR(F68="",G68="",J68="",COUNT(L68)=0,M68="",COUNT(N68)=0,COUNT(O68)=0),"",UPPER(F68&amp;"|"&amp;G68&amp;"|"&amp;J68&amp;"|"&amp;TEXT(N68,"0.000")&amp;"|"&amp;TEXT(O68,"0.000")&amp;"|"&amp;TEXT(L68,"0.000")&amp;"|"&amp;M68))</x:f>
      </x:c>
      <x:c r="AN68" s="12" t="str">
        <x:f>IF(A68="","",IF(OR(COUNTIF($C$2:$C$101,C68)&gt;1,AND(AE68&lt;&gt;"",COUNTIF($AE$2:$AE$101,AE68)&gt;1),AND(AM68&lt;&gt;"",COUNTIF($AM$2:$AM$101,AM68)&gt;1)),"BLOCK_POSSIBLE_PHYSICAL_DUPLICATE","PASS_UNIQUE_PHYSICAL_TRIP"))</x:f>
      </x:c>
      <x:c r="AO68" s="12"/>
      <x:c r="AP68" s="12" t="str">
        <x:f>IF(A68="","",IF(AND(Z68="actual",AA68&lt;&gt;"yes",W68="factor_verified",AJ68="PASS_FORMAL_PRECHECK",AN68="PASS_UNIQUE_PHYSICAL_TRIP",AO68="approved",AB68&lt;&gt;"",AD68&lt;&gt;"",AE68&lt;&gt;""),"FORMAL_APPROVED","EXCLUDED_NOT_FORMALLY_APPROVED"))</x:f>
      </x:c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>
        <x:f>IF(G69="","",LEFT(G69,7))</x:f>
      </x:c>
      <x:c r="I69" s="14" t="str">
        <x:f>IF(G69="","",LEFT(G69,4))</x:f>
      </x:c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  <x:c r="T69" s="14" t="str"/>
      <x:c r="U69" s="14" t="str"/>
      <x:c r="V69" s="14" t="str"/>
      <x:c r="W69" s="14" t="str"/>
      <x:c r="X69" s="14" t="str">
        <x:f>IF(OR(L69="",T69=""),"",L69*T69)</x:f>
      </x:c>
      <x:c r="Y69" s="14" t="str">
        <x:f>IF(X69="","",X69/1000)</x:f>
      </x:c>
      <x:c r="Z69" s="14" t="str"/>
      <x:c r="AA69" s="14" t="str"/>
      <x:c r="AB69" s="14" t="str"/>
      <x:c r="AC69" s="14" t="str"/>
      <x:c r="AD69" s="14" t="str"/>
      <x:c r="AE69" s="14" t="str"/>
      <x:c r="AF69" s="14" t="str"/>
      <x:c r="AG69" s="14" t="str"/>
      <x:c r="AH69" s="14" t="str"/>
      <x:c r="AI69" s="14" t="str"/>
      <x:c r="AJ69" t="str">
        <x:f>IF(A69="","",IF(OR(COUNT(L69)=0,M69="",COUNT(T69)=0,U69="",C69="",F69="",G69="",J69="",COUNT(N69)=0,COUNT(O69)=0,AB69="",AD69="",AE69=""),"BLOCK_MISSING_REQUIRED",IF(L69&lt;0,"BLOCK_NEGATIVE_ACTIVITY",IF(AND(M69&lt;&gt;"L",M69&lt;&gt;"kWh",M69&lt;&gt;"km",M69&lt;&gt;"t"),"BLOCK_UNSUPPORTED_UNIT",IF(OR(AND(M69="L",U69&lt;&gt;"kgCO2e/L"),AND(M69="kWh",U69&lt;&gt;"kgCO2e/kWh"),AND(M69="km",U69&lt;&gt;"kgCO2e/km"),AND(M69="t",U69&lt;&gt;"kgCO2e/t")),"BLOCK_UNIT_MISMATCH",IF(COUNTIF($A$2:$A$101,A69)&gt;1,"BLOCK_DUPLICATE_LEDGER_ID",IF(AN69&lt;&gt;"PASS_UNIQUE_PHYSICAL_TRIP","BLOCK_POSSIBLE_PHYSICAL_DUPLICATE",IF(AND(Z69="simulated",AA69="yes"),"PASS_SIMULATED_ONLY",IF(AND(Z69="actual",AA69&lt;&gt;"yes",W69="factor_verified",AB69&lt;&gt;"",AD69&lt;&gt;"",AE69&lt;&gt;""),"PASS_FORMAL_PRECHECK","REVIEW_DATA_STATUS")))))))))</x:f>
      </x:c>
      <x:c r="AK69" t="str">
        <x:f>IF(AJ69="","",IF(AJ69="BLOCK_MISSING_REQUIRED","缺少活动量/单位/因子/趟次关键字段/证据标识",IF(AJ69="BLOCK_NEGATIVE_ACTIVITY","活动量为负，禁止进入汇总",IF(AJ69="BLOCK_UNSUPPORTED_UNIT","活动单位不在允许单位白名单中",IF(AJ69="BLOCK_UNIT_MISMATCH","活动单位与因子单位不匹配",IF(AJ69="BLOCK_DUPLICATE_LEDGER_ID","台账行ID重复，需复核",IF(AJ69="BLOCK_POSSIBLE_PHYSICAL_DUPLICATE","疑似同一物理趟次/来源行重复，冻结汇总并复核",IF(AJ69="PASS_SIMULATED_ONLY","结构检查通过，但仅供 simulated 测试",IF(AJ69="PASS_FORMAL_PRECHECK","通过结构预检；仍需人工/负责人审批","数据状态需人工复核")))))))))</x:f>
      </x:c>
      <x:c r="AL69" t="str">
        <x:f>IF(A69="","",IF(OR(Z69="simulated",AA69="yes",W69&lt;&gt;"factor_verified",AJ69&lt;&gt;"PASS_FORMAL_PRECHECK",AB69="",AD69="",AE69=""),"NOT_FORMAL_USE","ELIGIBLE_FOR_REVIEW_NOT_APPROVED"))</x:f>
      </x:c>
      <x:c r="AM69" s="12" t="str">
        <x:f>IF(OR(F69="",G69="",J69="",COUNT(L69)=0,M69="",COUNT(N69)=0,COUNT(O69)=0),"",UPPER(F69&amp;"|"&amp;G69&amp;"|"&amp;J69&amp;"|"&amp;TEXT(N69,"0.000")&amp;"|"&amp;TEXT(O69,"0.000")&amp;"|"&amp;TEXT(L69,"0.000")&amp;"|"&amp;M69))</x:f>
      </x:c>
      <x:c r="AN69" s="12" t="str">
        <x:f>IF(A69="","",IF(OR(COUNTIF($C$2:$C$101,C69)&gt;1,AND(AE69&lt;&gt;"",COUNTIF($AE$2:$AE$101,AE69)&gt;1),AND(AM69&lt;&gt;"",COUNTIF($AM$2:$AM$101,AM69)&gt;1)),"BLOCK_POSSIBLE_PHYSICAL_DUPLICATE","PASS_UNIQUE_PHYSICAL_TRIP"))</x:f>
      </x:c>
      <x:c r="AO69" s="12"/>
      <x:c r="AP69" s="12" t="str">
        <x:f>IF(A69="","",IF(AND(Z69="actual",AA69&lt;&gt;"yes",W69="factor_verified",AJ69="PASS_FORMAL_PRECHECK",AN69="PASS_UNIQUE_PHYSICAL_TRIP",AO69="approved",AB69&lt;&gt;"",AD69&lt;&gt;"",AE69&lt;&gt;""),"FORMAL_APPROVED","EXCLUDED_NOT_FORMALLY_APPROVED"))</x:f>
      </x:c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>
        <x:f>IF(G70="","",LEFT(G70,7))</x:f>
      </x:c>
      <x:c r="I70" s="14" t="str">
        <x:f>IF(G70="","",LEFT(G70,4))</x:f>
      </x:c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  <x:c r="T70" s="14" t="str"/>
      <x:c r="U70" s="14" t="str"/>
      <x:c r="V70" s="14" t="str"/>
      <x:c r="W70" s="14" t="str"/>
      <x:c r="X70" s="14" t="str">
        <x:f>IF(OR(L70="",T70=""),"",L70*T70)</x:f>
      </x:c>
      <x:c r="Y70" s="14" t="str">
        <x:f>IF(X70="","",X70/1000)</x:f>
      </x:c>
      <x:c r="Z70" s="14" t="str"/>
      <x:c r="AA70" s="14" t="str"/>
      <x:c r="AB70" s="14" t="str"/>
      <x:c r="AC70" s="14" t="str"/>
      <x:c r="AD70" s="14" t="str"/>
      <x:c r="AE70" s="14" t="str"/>
      <x:c r="AF70" s="14" t="str"/>
      <x:c r="AG70" s="14" t="str"/>
      <x:c r="AH70" s="14" t="str"/>
      <x:c r="AI70" s="14" t="str"/>
      <x:c r="AJ70" t="str">
        <x:f>IF(A70="","",IF(OR(COUNT(L70)=0,M70="",COUNT(T70)=0,U70="",C70="",F70="",G70="",J70="",COUNT(N70)=0,COUNT(O70)=0,AB70="",AD70="",AE70=""),"BLOCK_MISSING_REQUIRED",IF(L70&lt;0,"BLOCK_NEGATIVE_ACTIVITY",IF(AND(M70&lt;&gt;"L",M70&lt;&gt;"kWh",M70&lt;&gt;"km",M70&lt;&gt;"t"),"BLOCK_UNSUPPORTED_UNIT",IF(OR(AND(M70="L",U70&lt;&gt;"kgCO2e/L"),AND(M70="kWh",U70&lt;&gt;"kgCO2e/kWh"),AND(M70="km",U70&lt;&gt;"kgCO2e/km"),AND(M70="t",U70&lt;&gt;"kgCO2e/t")),"BLOCK_UNIT_MISMATCH",IF(COUNTIF($A$2:$A$101,A70)&gt;1,"BLOCK_DUPLICATE_LEDGER_ID",IF(AN70&lt;&gt;"PASS_UNIQUE_PHYSICAL_TRIP","BLOCK_POSSIBLE_PHYSICAL_DUPLICATE",IF(AND(Z70="simulated",AA70="yes"),"PASS_SIMULATED_ONLY",IF(AND(Z70="actual",AA70&lt;&gt;"yes",W70="factor_verified",AB70&lt;&gt;"",AD70&lt;&gt;"",AE70&lt;&gt;""),"PASS_FORMAL_PRECHECK","REVIEW_DATA_STATUS")))))))))</x:f>
      </x:c>
      <x:c r="AK70" t="str">
        <x:f>IF(AJ70="","",IF(AJ70="BLOCK_MISSING_REQUIRED","缺少活动量/单位/因子/趟次关键字段/证据标识",IF(AJ70="BLOCK_NEGATIVE_ACTIVITY","活动量为负，禁止进入汇总",IF(AJ70="BLOCK_UNSUPPORTED_UNIT","活动单位不在允许单位白名单中",IF(AJ70="BLOCK_UNIT_MISMATCH","活动单位与因子单位不匹配",IF(AJ70="BLOCK_DUPLICATE_LEDGER_ID","台账行ID重复，需复核",IF(AJ70="BLOCK_POSSIBLE_PHYSICAL_DUPLICATE","疑似同一物理趟次/来源行重复，冻结汇总并复核",IF(AJ70="PASS_SIMULATED_ONLY","结构检查通过，但仅供 simulated 测试",IF(AJ70="PASS_FORMAL_PRECHECK","通过结构预检；仍需人工/负责人审批","数据状态需人工复核")))))))))</x:f>
      </x:c>
      <x:c r="AL70" t="str">
        <x:f>IF(A70="","",IF(OR(Z70="simulated",AA70="yes",W70&lt;&gt;"factor_verified",AJ70&lt;&gt;"PASS_FORMAL_PRECHECK",AB70="",AD70="",AE70=""),"NOT_FORMAL_USE","ELIGIBLE_FOR_REVIEW_NOT_APPROVED"))</x:f>
      </x:c>
      <x:c r="AM70" s="12" t="str">
        <x:f>IF(OR(F70="",G70="",J70="",COUNT(L70)=0,M70="",COUNT(N70)=0,COUNT(O70)=0),"",UPPER(F70&amp;"|"&amp;G70&amp;"|"&amp;J70&amp;"|"&amp;TEXT(N70,"0.000")&amp;"|"&amp;TEXT(O70,"0.000")&amp;"|"&amp;TEXT(L70,"0.000")&amp;"|"&amp;M70))</x:f>
      </x:c>
      <x:c r="AN70" s="12" t="str">
        <x:f>IF(A70="","",IF(OR(COUNTIF($C$2:$C$101,C70)&gt;1,AND(AE70&lt;&gt;"",COUNTIF($AE$2:$AE$101,AE70)&gt;1),AND(AM70&lt;&gt;"",COUNTIF($AM$2:$AM$101,AM70)&gt;1)),"BLOCK_POSSIBLE_PHYSICAL_DUPLICATE","PASS_UNIQUE_PHYSICAL_TRIP"))</x:f>
      </x:c>
      <x:c r="AO70" s="12"/>
      <x:c r="AP70" s="12" t="str">
        <x:f>IF(A70="","",IF(AND(Z70="actual",AA70&lt;&gt;"yes",W70="factor_verified",AJ70="PASS_FORMAL_PRECHECK",AN70="PASS_UNIQUE_PHYSICAL_TRIP",AO70="approved",AB70&lt;&gt;"",AD70&lt;&gt;"",AE70&lt;&gt;""),"FORMAL_APPROVED","EXCLUDED_NOT_FORMALLY_APPROVED"))</x:f>
      </x:c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>
        <x:f>IF(G71="","",LEFT(G71,7))</x:f>
      </x:c>
      <x:c r="I71" s="14" t="str">
        <x:f>IF(G71="","",LEFT(G71,4))</x:f>
      </x:c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  <x:c r="T71" s="14" t="str"/>
      <x:c r="U71" s="14" t="str"/>
      <x:c r="V71" s="14" t="str"/>
      <x:c r="W71" s="14" t="str"/>
      <x:c r="X71" s="14" t="str">
        <x:f>IF(OR(L71="",T71=""),"",L71*T71)</x:f>
      </x:c>
      <x:c r="Y71" s="14" t="str">
        <x:f>IF(X71="","",X71/1000)</x:f>
      </x:c>
      <x:c r="Z71" s="14" t="str"/>
      <x:c r="AA71" s="14" t="str"/>
      <x:c r="AB71" s="14" t="str"/>
      <x:c r="AC71" s="14" t="str"/>
      <x:c r="AD71" s="14" t="str"/>
      <x:c r="AE71" s="14" t="str"/>
      <x:c r="AF71" s="14" t="str"/>
      <x:c r="AG71" s="14" t="str"/>
      <x:c r="AH71" s="14" t="str"/>
      <x:c r="AI71" s="14" t="str"/>
      <x:c r="AJ71" t="str">
        <x:f>IF(A71="","",IF(OR(COUNT(L71)=0,M71="",COUNT(T71)=0,U71="",C71="",F71="",G71="",J71="",COUNT(N71)=0,COUNT(O71)=0,AB71="",AD71="",AE71=""),"BLOCK_MISSING_REQUIRED",IF(L71&lt;0,"BLOCK_NEGATIVE_ACTIVITY",IF(AND(M71&lt;&gt;"L",M71&lt;&gt;"kWh",M71&lt;&gt;"km",M71&lt;&gt;"t"),"BLOCK_UNSUPPORTED_UNIT",IF(OR(AND(M71="L",U71&lt;&gt;"kgCO2e/L"),AND(M71="kWh",U71&lt;&gt;"kgCO2e/kWh"),AND(M71="km",U71&lt;&gt;"kgCO2e/km"),AND(M71="t",U71&lt;&gt;"kgCO2e/t")),"BLOCK_UNIT_MISMATCH",IF(COUNTIF($A$2:$A$101,A71)&gt;1,"BLOCK_DUPLICATE_LEDGER_ID",IF(AN71&lt;&gt;"PASS_UNIQUE_PHYSICAL_TRIP","BLOCK_POSSIBLE_PHYSICAL_DUPLICATE",IF(AND(Z71="simulated",AA71="yes"),"PASS_SIMULATED_ONLY",IF(AND(Z71="actual",AA71&lt;&gt;"yes",W71="factor_verified",AB71&lt;&gt;"",AD71&lt;&gt;"",AE71&lt;&gt;""),"PASS_FORMAL_PRECHECK","REVIEW_DATA_STATUS")))))))))</x:f>
      </x:c>
      <x:c r="AK71" t="str">
        <x:f>IF(AJ71="","",IF(AJ71="BLOCK_MISSING_REQUIRED","缺少活动量/单位/因子/趟次关键字段/证据标识",IF(AJ71="BLOCK_NEGATIVE_ACTIVITY","活动量为负，禁止进入汇总",IF(AJ71="BLOCK_UNSUPPORTED_UNIT","活动单位不在允许单位白名单中",IF(AJ71="BLOCK_UNIT_MISMATCH","活动单位与因子单位不匹配",IF(AJ71="BLOCK_DUPLICATE_LEDGER_ID","台账行ID重复，需复核",IF(AJ71="BLOCK_POSSIBLE_PHYSICAL_DUPLICATE","疑似同一物理趟次/来源行重复，冻结汇总并复核",IF(AJ71="PASS_SIMULATED_ONLY","结构检查通过，但仅供 simulated 测试",IF(AJ71="PASS_FORMAL_PRECHECK","通过结构预检；仍需人工/负责人审批","数据状态需人工复核")))))))))</x:f>
      </x:c>
      <x:c r="AL71" t="str">
        <x:f>IF(A71="","",IF(OR(Z71="simulated",AA71="yes",W71&lt;&gt;"factor_verified",AJ71&lt;&gt;"PASS_FORMAL_PRECHECK",AB71="",AD71="",AE71=""),"NOT_FORMAL_USE","ELIGIBLE_FOR_REVIEW_NOT_APPROVED"))</x:f>
      </x:c>
      <x:c r="AM71" s="12" t="str">
        <x:f>IF(OR(F71="",G71="",J71="",COUNT(L71)=0,M71="",COUNT(N71)=0,COUNT(O71)=0),"",UPPER(F71&amp;"|"&amp;G71&amp;"|"&amp;J71&amp;"|"&amp;TEXT(N71,"0.000")&amp;"|"&amp;TEXT(O71,"0.000")&amp;"|"&amp;TEXT(L71,"0.000")&amp;"|"&amp;M71))</x:f>
      </x:c>
      <x:c r="AN71" s="12" t="str">
        <x:f>IF(A71="","",IF(OR(COUNTIF($C$2:$C$101,C71)&gt;1,AND(AE71&lt;&gt;"",COUNTIF($AE$2:$AE$101,AE71)&gt;1),AND(AM71&lt;&gt;"",COUNTIF($AM$2:$AM$101,AM71)&gt;1)),"BLOCK_POSSIBLE_PHYSICAL_DUPLICATE","PASS_UNIQUE_PHYSICAL_TRIP"))</x:f>
      </x:c>
      <x:c r="AO71" s="12"/>
      <x:c r="AP71" s="12" t="str">
        <x:f>IF(A71="","",IF(AND(Z71="actual",AA71&lt;&gt;"yes",W71="factor_verified",AJ71="PASS_FORMAL_PRECHECK",AN71="PASS_UNIQUE_PHYSICAL_TRIP",AO71="approved",AB71&lt;&gt;"",AD71&lt;&gt;"",AE71&lt;&gt;""),"FORMAL_APPROVED","EXCLUDED_NOT_FORMALLY_APPROVED"))</x:f>
      </x:c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>
        <x:f>IF(G72="","",LEFT(G72,7))</x:f>
      </x:c>
      <x:c r="I72" s="14" t="str">
        <x:f>IF(G72="","",LEFT(G72,4))</x:f>
      </x:c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  <x:c r="T72" s="14" t="str"/>
      <x:c r="U72" s="14" t="str"/>
      <x:c r="V72" s="14" t="str"/>
      <x:c r="W72" s="14" t="str"/>
      <x:c r="X72" s="14" t="str">
        <x:f>IF(OR(L72="",T72=""),"",L72*T72)</x:f>
      </x:c>
      <x:c r="Y72" s="14" t="str">
        <x:f>IF(X72="","",X72/1000)</x:f>
      </x:c>
      <x:c r="Z72" s="14" t="str"/>
      <x:c r="AA72" s="14" t="str"/>
      <x:c r="AB72" s="14" t="str"/>
      <x:c r="AC72" s="14" t="str"/>
      <x:c r="AD72" s="14" t="str"/>
      <x:c r="AE72" s="14" t="str"/>
      <x:c r="AF72" s="14" t="str"/>
      <x:c r="AG72" s="14" t="str"/>
      <x:c r="AH72" s="14" t="str"/>
      <x:c r="AI72" s="14" t="str"/>
      <x:c r="AJ72" t="str">
        <x:f>IF(A72="","",IF(OR(COUNT(L72)=0,M72="",COUNT(T72)=0,U72="",C72="",F72="",G72="",J72="",COUNT(N72)=0,COUNT(O72)=0,AB72="",AD72="",AE72=""),"BLOCK_MISSING_REQUIRED",IF(L72&lt;0,"BLOCK_NEGATIVE_ACTIVITY",IF(AND(M72&lt;&gt;"L",M72&lt;&gt;"kWh",M72&lt;&gt;"km",M72&lt;&gt;"t"),"BLOCK_UNSUPPORTED_UNIT",IF(OR(AND(M72="L",U72&lt;&gt;"kgCO2e/L"),AND(M72="kWh",U72&lt;&gt;"kgCO2e/kWh"),AND(M72="km",U72&lt;&gt;"kgCO2e/km"),AND(M72="t",U72&lt;&gt;"kgCO2e/t")),"BLOCK_UNIT_MISMATCH",IF(COUNTIF($A$2:$A$101,A72)&gt;1,"BLOCK_DUPLICATE_LEDGER_ID",IF(AN72&lt;&gt;"PASS_UNIQUE_PHYSICAL_TRIP","BLOCK_POSSIBLE_PHYSICAL_DUPLICATE",IF(AND(Z72="simulated",AA72="yes"),"PASS_SIMULATED_ONLY",IF(AND(Z72="actual",AA72&lt;&gt;"yes",W72="factor_verified",AB72&lt;&gt;"",AD72&lt;&gt;"",AE72&lt;&gt;""),"PASS_FORMAL_PRECHECK","REVIEW_DATA_STATUS")))))))))</x:f>
      </x:c>
      <x:c r="AK72" t="str">
        <x:f>IF(AJ72="","",IF(AJ72="BLOCK_MISSING_REQUIRED","缺少活动量/单位/因子/趟次关键字段/证据标识",IF(AJ72="BLOCK_NEGATIVE_ACTIVITY","活动量为负，禁止进入汇总",IF(AJ72="BLOCK_UNSUPPORTED_UNIT","活动单位不在允许单位白名单中",IF(AJ72="BLOCK_UNIT_MISMATCH","活动单位与因子单位不匹配",IF(AJ72="BLOCK_DUPLICATE_LEDGER_ID","台账行ID重复，需复核",IF(AJ72="BLOCK_POSSIBLE_PHYSICAL_DUPLICATE","疑似同一物理趟次/来源行重复，冻结汇总并复核",IF(AJ72="PASS_SIMULATED_ONLY","结构检查通过，但仅供 simulated 测试",IF(AJ72="PASS_FORMAL_PRECHECK","通过结构预检；仍需人工/负责人审批","数据状态需人工复核")))))))))</x:f>
      </x:c>
      <x:c r="AL72" t="str">
        <x:f>IF(A72="","",IF(OR(Z72="simulated",AA72="yes",W72&lt;&gt;"factor_verified",AJ72&lt;&gt;"PASS_FORMAL_PRECHECK",AB72="",AD72="",AE72=""),"NOT_FORMAL_USE","ELIGIBLE_FOR_REVIEW_NOT_APPROVED"))</x:f>
      </x:c>
      <x:c r="AM72" s="12" t="str">
        <x:f>IF(OR(F72="",G72="",J72="",COUNT(L72)=0,M72="",COUNT(N72)=0,COUNT(O72)=0),"",UPPER(F72&amp;"|"&amp;G72&amp;"|"&amp;J72&amp;"|"&amp;TEXT(N72,"0.000")&amp;"|"&amp;TEXT(O72,"0.000")&amp;"|"&amp;TEXT(L72,"0.000")&amp;"|"&amp;M72))</x:f>
      </x:c>
      <x:c r="AN72" s="12" t="str">
        <x:f>IF(A72="","",IF(OR(COUNTIF($C$2:$C$101,C72)&gt;1,AND(AE72&lt;&gt;"",COUNTIF($AE$2:$AE$101,AE72)&gt;1),AND(AM72&lt;&gt;"",COUNTIF($AM$2:$AM$101,AM72)&gt;1)),"BLOCK_POSSIBLE_PHYSICAL_DUPLICATE","PASS_UNIQUE_PHYSICAL_TRIP"))</x:f>
      </x:c>
      <x:c r="AO72" s="12"/>
      <x:c r="AP72" s="12" t="str">
        <x:f>IF(A72="","",IF(AND(Z72="actual",AA72&lt;&gt;"yes",W72="factor_verified",AJ72="PASS_FORMAL_PRECHECK",AN72="PASS_UNIQUE_PHYSICAL_TRIP",AO72="approved",AB72&lt;&gt;"",AD72&lt;&gt;"",AE72&lt;&gt;""),"FORMAL_APPROVED","EXCLUDED_NOT_FORMALLY_APPROVED"))</x:f>
      </x:c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>
        <x:f>IF(G73="","",LEFT(G73,7))</x:f>
      </x:c>
      <x:c r="I73" s="14" t="str">
        <x:f>IF(G73="","",LEFT(G73,4))</x:f>
      </x:c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  <x:c r="T73" s="14" t="str"/>
      <x:c r="U73" s="14" t="str"/>
      <x:c r="V73" s="14" t="str"/>
      <x:c r="W73" s="14" t="str"/>
      <x:c r="X73" s="14" t="str">
        <x:f>IF(OR(L73="",T73=""),"",L73*T73)</x:f>
      </x:c>
      <x:c r="Y73" s="14" t="str">
        <x:f>IF(X73="","",X73/1000)</x:f>
      </x:c>
      <x:c r="Z73" s="14" t="str"/>
      <x:c r="AA73" s="14" t="str"/>
      <x:c r="AB73" s="14" t="str"/>
      <x:c r="AC73" s="14" t="str"/>
      <x:c r="AD73" s="14" t="str"/>
      <x:c r="AE73" s="14" t="str"/>
      <x:c r="AF73" s="14" t="str"/>
      <x:c r="AG73" s="14" t="str"/>
      <x:c r="AH73" s="14" t="str"/>
      <x:c r="AI73" s="14" t="str"/>
      <x:c r="AJ73" t="str">
        <x:f>IF(A73="","",IF(OR(COUNT(L73)=0,M73="",COUNT(T73)=0,U73="",C73="",F73="",G73="",J73="",COUNT(N73)=0,COUNT(O73)=0,AB73="",AD73="",AE73=""),"BLOCK_MISSING_REQUIRED",IF(L73&lt;0,"BLOCK_NEGATIVE_ACTIVITY",IF(AND(M73&lt;&gt;"L",M73&lt;&gt;"kWh",M73&lt;&gt;"km",M73&lt;&gt;"t"),"BLOCK_UNSUPPORTED_UNIT",IF(OR(AND(M73="L",U73&lt;&gt;"kgCO2e/L"),AND(M73="kWh",U73&lt;&gt;"kgCO2e/kWh"),AND(M73="km",U73&lt;&gt;"kgCO2e/km"),AND(M73="t",U73&lt;&gt;"kgCO2e/t")),"BLOCK_UNIT_MISMATCH",IF(COUNTIF($A$2:$A$101,A73)&gt;1,"BLOCK_DUPLICATE_LEDGER_ID",IF(AN73&lt;&gt;"PASS_UNIQUE_PHYSICAL_TRIP","BLOCK_POSSIBLE_PHYSICAL_DUPLICATE",IF(AND(Z73="simulated",AA73="yes"),"PASS_SIMULATED_ONLY",IF(AND(Z73="actual",AA73&lt;&gt;"yes",W73="factor_verified",AB73&lt;&gt;"",AD73&lt;&gt;"",AE73&lt;&gt;""),"PASS_FORMAL_PRECHECK","REVIEW_DATA_STATUS")))))))))</x:f>
      </x:c>
      <x:c r="AK73" t="str">
        <x:f>IF(AJ73="","",IF(AJ73="BLOCK_MISSING_REQUIRED","缺少活动量/单位/因子/趟次关键字段/证据标识",IF(AJ73="BLOCK_NEGATIVE_ACTIVITY","活动量为负，禁止进入汇总",IF(AJ73="BLOCK_UNSUPPORTED_UNIT","活动单位不在允许单位白名单中",IF(AJ73="BLOCK_UNIT_MISMATCH","活动单位与因子单位不匹配",IF(AJ73="BLOCK_DUPLICATE_LEDGER_ID","台账行ID重复，需复核",IF(AJ73="BLOCK_POSSIBLE_PHYSICAL_DUPLICATE","疑似同一物理趟次/来源行重复，冻结汇总并复核",IF(AJ73="PASS_SIMULATED_ONLY","结构检查通过，但仅供 simulated 测试",IF(AJ73="PASS_FORMAL_PRECHECK","通过结构预检；仍需人工/负责人审批","数据状态需人工复核")))))))))</x:f>
      </x:c>
      <x:c r="AL73" t="str">
        <x:f>IF(A73="","",IF(OR(Z73="simulated",AA73="yes",W73&lt;&gt;"factor_verified",AJ73&lt;&gt;"PASS_FORMAL_PRECHECK",AB73="",AD73="",AE73=""),"NOT_FORMAL_USE","ELIGIBLE_FOR_REVIEW_NOT_APPROVED"))</x:f>
      </x:c>
      <x:c r="AM73" s="12" t="str">
        <x:f>IF(OR(F73="",G73="",J73="",COUNT(L73)=0,M73="",COUNT(N73)=0,COUNT(O73)=0),"",UPPER(F73&amp;"|"&amp;G73&amp;"|"&amp;J73&amp;"|"&amp;TEXT(N73,"0.000")&amp;"|"&amp;TEXT(O73,"0.000")&amp;"|"&amp;TEXT(L73,"0.000")&amp;"|"&amp;M73))</x:f>
      </x:c>
      <x:c r="AN73" s="12" t="str">
        <x:f>IF(A73="","",IF(OR(COUNTIF($C$2:$C$101,C73)&gt;1,AND(AE73&lt;&gt;"",COUNTIF($AE$2:$AE$101,AE73)&gt;1),AND(AM73&lt;&gt;"",COUNTIF($AM$2:$AM$101,AM73)&gt;1)),"BLOCK_POSSIBLE_PHYSICAL_DUPLICATE","PASS_UNIQUE_PHYSICAL_TRIP"))</x:f>
      </x:c>
      <x:c r="AO73" s="12"/>
      <x:c r="AP73" s="12" t="str">
        <x:f>IF(A73="","",IF(AND(Z73="actual",AA73&lt;&gt;"yes",W73="factor_verified",AJ73="PASS_FORMAL_PRECHECK",AN73="PASS_UNIQUE_PHYSICAL_TRIP",AO73="approved",AB73&lt;&gt;"",AD73&lt;&gt;"",AE73&lt;&gt;""),"FORMAL_APPROVED","EXCLUDED_NOT_FORMALLY_APPROVED"))</x:f>
      </x:c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>
        <x:f>IF(G74="","",LEFT(G74,7))</x:f>
      </x:c>
      <x:c r="I74" s="14" t="str">
        <x:f>IF(G74="","",LEFT(G74,4))</x:f>
      </x:c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  <x:c r="T74" s="14" t="str"/>
      <x:c r="U74" s="14" t="str"/>
      <x:c r="V74" s="14" t="str"/>
      <x:c r="W74" s="14" t="str"/>
      <x:c r="X74" s="14" t="str">
        <x:f>IF(OR(L74="",T74=""),"",L74*T74)</x:f>
      </x:c>
      <x:c r="Y74" s="14" t="str">
        <x:f>IF(X74="","",X74/1000)</x:f>
      </x:c>
      <x:c r="Z74" s="14" t="str"/>
      <x:c r="AA74" s="14" t="str"/>
      <x:c r="AB74" s="14" t="str"/>
      <x:c r="AC74" s="14" t="str"/>
      <x:c r="AD74" s="14" t="str"/>
      <x:c r="AE74" s="14" t="str"/>
      <x:c r="AF74" s="14" t="str"/>
      <x:c r="AG74" s="14" t="str"/>
      <x:c r="AH74" s="14" t="str"/>
      <x:c r="AI74" s="14" t="str"/>
      <x:c r="AJ74" t="str">
        <x:f>IF(A74="","",IF(OR(COUNT(L74)=0,M74="",COUNT(T74)=0,U74="",C74="",F74="",G74="",J74="",COUNT(N74)=0,COUNT(O74)=0,AB74="",AD74="",AE74=""),"BLOCK_MISSING_REQUIRED",IF(L74&lt;0,"BLOCK_NEGATIVE_ACTIVITY",IF(AND(M74&lt;&gt;"L",M74&lt;&gt;"kWh",M74&lt;&gt;"km",M74&lt;&gt;"t"),"BLOCK_UNSUPPORTED_UNIT",IF(OR(AND(M74="L",U74&lt;&gt;"kgCO2e/L"),AND(M74="kWh",U74&lt;&gt;"kgCO2e/kWh"),AND(M74="km",U74&lt;&gt;"kgCO2e/km"),AND(M74="t",U74&lt;&gt;"kgCO2e/t")),"BLOCK_UNIT_MISMATCH",IF(COUNTIF($A$2:$A$101,A74)&gt;1,"BLOCK_DUPLICATE_LEDGER_ID",IF(AN74&lt;&gt;"PASS_UNIQUE_PHYSICAL_TRIP","BLOCK_POSSIBLE_PHYSICAL_DUPLICATE",IF(AND(Z74="simulated",AA74="yes"),"PASS_SIMULATED_ONLY",IF(AND(Z74="actual",AA74&lt;&gt;"yes",W74="factor_verified",AB74&lt;&gt;"",AD74&lt;&gt;"",AE74&lt;&gt;""),"PASS_FORMAL_PRECHECK","REVIEW_DATA_STATUS")))))))))</x:f>
      </x:c>
      <x:c r="AK74" t="str">
        <x:f>IF(AJ74="","",IF(AJ74="BLOCK_MISSING_REQUIRED","缺少活动量/单位/因子/趟次关键字段/证据标识",IF(AJ74="BLOCK_NEGATIVE_ACTIVITY","活动量为负，禁止进入汇总",IF(AJ74="BLOCK_UNSUPPORTED_UNIT","活动单位不在允许单位白名单中",IF(AJ74="BLOCK_UNIT_MISMATCH","活动单位与因子单位不匹配",IF(AJ74="BLOCK_DUPLICATE_LEDGER_ID","台账行ID重复，需复核",IF(AJ74="BLOCK_POSSIBLE_PHYSICAL_DUPLICATE","疑似同一物理趟次/来源行重复，冻结汇总并复核",IF(AJ74="PASS_SIMULATED_ONLY","结构检查通过，但仅供 simulated 测试",IF(AJ74="PASS_FORMAL_PRECHECK","通过结构预检；仍需人工/负责人审批","数据状态需人工复核")))))))))</x:f>
      </x:c>
      <x:c r="AL74" t="str">
        <x:f>IF(A74="","",IF(OR(Z74="simulated",AA74="yes",W74&lt;&gt;"factor_verified",AJ74&lt;&gt;"PASS_FORMAL_PRECHECK",AB74="",AD74="",AE74=""),"NOT_FORMAL_USE","ELIGIBLE_FOR_REVIEW_NOT_APPROVED"))</x:f>
      </x:c>
      <x:c r="AM74" s="12" t="str">
        <x:f>IF(OR(F74="",G74="",J74="",COUNT(L74)=0,M74="",COUNT(N74)=0,COUNT(O74)=0),"",UPPER(F74&amp;"|"&amp;G74&amp;"|"&amp;J74&amp;"|"&amp;TEXT(N74,"0.000")&amp;"|"&amp;TEXT(O74,"0.000")&amp;"|"&amp;TEXT(L74,"0.000")&amp;"|"&amp;M74))</x:f>
      </x:c>
      <x:c r="AN74" s="12" t="str">
        <x:f>IF(A74="","",IF(OR(COUNTIF($C$2:$C$101,C74)&gt;1,AND(AE74&lt;&gt;"",COUNTIF($AE$2:$AE$101,AE74)&gt;1),AND(AM74&lt;&gt;"",COUNTIF($AM$2:$AM$101,AM74)&gt;1)),"BLOCK_POSSIBLE_PHYSICAL_DUPLICATE","PASS_UNIQUE_PHYSICAL_TRIP"))</x:f>
      </x:c>
      <x:c r="AO74" s="12"/>
      <x:c r="AP74" s="12" t="str">
        <x:f>IF(A74="","",IF(AND(Z74="actual",AA74&lt;&gt;"yes",W74="factor_verified",AJ74="PASS_FORMAL_PRECHECK",AN74="PASS_UNIQUE_PHYSICAL_TRIP",AO74="approved",AB74&lt;&gt;"",AD74&lt;&gt;"",AE74&lt;&gt;""),"FORMAL_APPROVED","EXCLUDED_NOT_FORMALLY_APPROVED"))</x:f>
      </x:c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>
        <x:f>IF(G75="","",LEFT(G75,7))</x:f>
      </x:c>
      <x:c r="I75" s="14" t="str">
        <x:f>IF(G75="","",LEFT(G75,4))</x:f>
      </x:c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  <x:c r="T75" s="14" t="str"/>
      <x:c r="U75" s="14" t="str"/>
      <x:c r="V75" s="14" t="str"/>
      <x:c r="W75" s="14" t="str"/>
      <x:c r="X75" s="14" t="str">
        <x:f>IF(OR(L75="",T75=""),"",L75*T75)</x:f>
      </x:c>
      <x:c r="Y75" s="14" t="str">
        <x:f>IF(X75="","",X75/1000)</x:f>
      </x:c>
      <x:c r="Z75" s="14" t="str"/>
      <x:c r="AA75" s="14" t="str"/>
      <x:c r="AB75" s="14" t="str"/>
      <x:c r="AC75" s="14" t="str"/>
      <x:c r="AD75" s="14" t="str"/>
      <x:c r="AE75" s="14" t="str"/>
      <x:c r="AF75" s="14" t="str"/>
      <x:c r="AG75" s="14" t="str"/>
      <x:c r="AH75" s="14" t="str"/>
      <x:c r="AI75" s="14" t="str"/>
      <x:c r="AJ75" t="str">
        <x:f>IF(A75="","",IF(OR(COUNT(L75)=0,M75="",COUNT(T75)=0,U75="",C75="",F75="",G75="",J75="",COUNT(N75)=0,COUNT(O75)=0,AB75="",AD75="",AE75=""),"BLOCK_MISSING_REQUIRED",IF(L75&lt;0,"BLOCK_NEGATIVE_ACTIVITY",IF(AND(M75&lt;&gt;"L",M75&lt;&gt;"kWh",M75&lt;&gt;"km",M75&lt;&gt;"t"),"BLOCK_UNSUPPORTED_UNIT",IF(OR(AND(M75="L",U75&lt;&gt;"kgCO2e/L"),AND(M75="kWh",U75&lt;&gt;"kgCO2e/kWh"),AND(M75="km",U75&lt;&gt;"kgCO2e/km"),AND(M75="t",U75&lt;&gt;"kgCO2e/t")),"BLOCK_UNIT_MISMATCH",IF(COUNTIF($A$2:$A$101,A75)&gt;1,"BLOCK_DUPLICATE_LEDGER_ID",IF(AN75&lt;&gt;"PASS_UNIQUE_PHYSICAL_TRIP","BLOCK_POSSIBLE_PHYSICAL_DUPLICATE",IF(AND(Z75="simulated",AA75="yes"),"PASS_SIMULATED_ONLY",IF(AND(Z75="actual",AA75&lt;&gt;"yes",W75="factor_verified",AB75&lt;&gt;"",AD75&lt;&gt;"",AE75&lt;&gt;""),"PASS_FORMAL_PRECHECK","REVIEW_DATA_STATUS")))))))))</x:f>
      </x:c>
      <x:c r="AK75" t="str">
        <x:f>IF(AJ75="","",IF(AJ75="BLOCK_MISSING_REQUIRED","缺少活动量/单位/因子/趟次关键字段/证据标识",IF(AJ75="BLOCK_NEGATIVE_ACTIVITY","活动量为负，禁止进入汇总",IF(AJ75="BLOCK_UNSUPPORTED_UNIT","活动单位不在允许单位白名单中",IF(AJ75="BLOCK_UNIT_MISMATCH","活动单位与因子单位不匹配",IF(AJ75="BLOCK_DUPLICATE_LEDGER_ID","台账行ID重复，需复核",IF(AJ75="BLOCK_POSSIBLE_PHYSICAL_DUPLICATE","疑似同一物理趟次/来源行重复，冻结汇总并复核",IF(AJ75="PASS_SIMULATED_ONLY","结构检查通过，但仅供 simulated 测试",IF(AJ75="PASS_FORMAL_PRECHECK","通过结构预检；仍需人工/负责人审批","数据状态需人工复核")))))))))</x:f>
      </x:c>
      <x:c r="AL75" t="str">
        <x:f>IF(A75="","",IF(OR(Z75="simulated",AA75="yes",W75&lt;&gt;"factor_verified",AJ75&lt;&gt;"PASS_FORMAL_PRECHECK",AB75="",AD75="",AE75=""),"NOT_FORMAL_USE","ELIGIBLE_FOR_REVIEW_NOT_APPROVED"))</x:f>
      </x:c>
      <x:c r="AM75" s="12" t="str">
        <x:f>IF(OR(F75="",G75="",J75="",COUNT(L75)=0,M75="",COUNT(N75)=0,COUNT(O75)=0),"",UPPER(F75&amp;"|"&amp;G75&amp;"|"&amp;J75&amp;"|"&amp;TEXT(N75,"0.000")&amp;"|"&amp;TEXT(O75,"0.000")&amp;"|"&amp;TEXT(L75,"0.000")&amp;"|"&amp;M75))</x:f>
      </x:c>
      <x:c r="AN75" s="12" t="str">
        <x:f>IF(A75="","",IF(OR(COUNTIF($C$2:$C$101,C75)&gt;1,AND(AE75&lt;&gt;"",COUNTIF($AE$2:$AE$101,AE75)&gt;1),AND(AM75&lt;&gt;"",COUNTIF($AM$2:$AM$101,AM75)&gt;1)),"BLOCK_POSSIBLE_PHYSICAL_DUPLICATE","PASS_UNIQUE_PHYSICAL_TRIP"))</x:f>
      </x:c>
      <x:c r="AO75" s="12"/>
      <x:c r="AP75" s="12" t="str">
        <x:f>IF(A75="","",IF(AND(Z75="actual",AA75&lt;&gt;"yes",W75="factor_verified",AJ75="PASS_FORMAL_PRECHECK",AN75="PASS_UNIQUE_PHYSICAL_TRIP",AO75="approved",AB75&lt;&gt;"",AD75&lt;&gt;"",AE75&lt;&gt;""),"FORMAL_APPROVED","EXCLUDED_NOT_FORMALLY_APPROVED"))</x:f>
      </x:c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>
        <x:f>IF(G76="","",LEFT(G76,7))</x:f>
      </x:c>
      <x:c r="I76" s="14" t="str">
        <x:f>IF(G76="","",LEFT(G76,4))</x:f>
      </x:c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  <x:c r="T76" s="14" t="str"/>
      <x:c r="U76" s="14" t="str"/>
      <x:c r="V76" s="14" t="str"/>
      <x:c r="W76" s="14" t="str"/>
      <x:c r="X76" s="14" t="str">
        <x:f>IF(OR(L76="",T76=""),"",L76*T76)</x:f>
      </x:c>
      <x:c r="Y76" s="14" t="str">
        <x:f>IF(X76="","",X76/1000)</x:f>
      </x:c>
      <x:c r="Z76" s="14" t="str"/>
      <x:c r="AA76" s="14" t="str"/>
      <x:c r="AB76" s="14" t="str"/>
      <x:c r="AC76" s="14" t="str"/>
      <x:c r="AD76" s="14" t="str"/>
      <x:c r="AE76" s="14" t="str"/>
      <x:c r="AF76" s="14" t="str"/>
      <x:c r="AG76" s="14" t="str"/>
      <x:c r="AH76" s="14" t="str"/>
      <x:c r="AI76" s="14" t="str"/>
      <x:c r="AJ76" t="str">
        <x:f>IF(A76="","",IF(OR(COUNT(L76)=0,M76="",COUNT(T76)=0,U76="",C76="",F76="",G76="",J76="",COUNT(N76)=0,COUNT(O76)=0,AB76="",AD76="",AE76=""),"BLOCK_MISSING_REQUIRED",IF(L76&lt;0,"BLOCK_NEGATIVE_ACTIVITY",IF(AND(M76&lt;&gt;"L",M76&lt;&gt;"kWh",M76&lt;&gt;"km",M76&lt;&gt;"t"),"BLOCK_UNSUPPORTED_UNIT",IF(OR(AND(M76="L",U76&lt;&gt;"kgCO2e/L"),AND(M76="kWh",U76&lt;&gt;"kgCO2e/kWh"),AND(M76="km",U76&lt;&gt;"kgCO2e/km"),AND(M76="t",U76&lt;&gt;"kgCO2e/t")),"BLOCK_UNIT_MISMATCH",IF(COUNTIF($A$2:$A$101,A76)&gt;1,"BLOCK_DUPLICATE_LEDGER_ID",IF(AN76&lt;&gt;"PASS_UNIQUE_PHYSICAL_TRIP","BLOCK_POSSIBLE_PHYSICAL_DUPLICATE",IF(AND(Z76="simulated",AA76="yes"),"PASS_SIMULATED_ONLY",IF(AND(Z76="actual",AA76&lt;&gt;"yes",W76="factor_verified",AB76&lt;&gt;"",AD76&lt;&gt;"",AE76&lt;&gt;""),"PASS_FORMAL_PRECHECK","REVIEW_DATA_STATUS")))))))))</x:f>
      </x:c>
      <x:c r="AK76" t="str">
        <x:f>IF(AJ76="","",IF(AJ76="BLOCK_MISSING_REQUIRED","缺少活动量/单位/因子/趟次关键字段/证据标识",IF(AJ76="BLOCK_NEGATIVE_ACTIVITY","活动量为负，禁止进入汇总",IF(AJ76="BLOCK_UNSUPPORTED_UNIT","活动单位不在允许单位白名单中",IF(AJ76="BLOCK_UNIT_MISMATCH","活动单位与因子单位不匹配",IF(AJ76="BLOCK_DUPLICATE_LEDGER_ID","台账行ID重复，需复核",IF(AJ76="BLOCK_POSSIBLE_PHYSICAL_DUPLICATE","疑似同一物理趟次/来源行重复，冻结汇总并复核",IF(AJ76="PASS_SIMULATED_ONLY","结构检查通过，但仅供 simulated 测试",IF(AJ76="PASS_FORMAL_PRECHECK","通过结构预检；仍需人工/负责人审批","数据状态需人工复核")))))))))</x:f>
      </x:c>
      <x:c r="AL76" t="str">
        <x:f>IF(A76="","",IF(OR(Z76="simulated",AA76="yes",W76&lt;&gt;"factor_verified",AJ76&lt;&gt;"PASS_FORMAL_PRECHECK",AB76="",AD76="",AE76=""),"NOT_FORMAL_USE","ELIGIBLE_FOR_REVIEW_NOT_APPROVED"))</x:f>
      </x:c>
      <x:c r="AM76" s="12" t="str">
        <x:f>IF(OR(F76="",G76="",J76="",COUNT(L76)=0,M76="",COUNT(N76)=0,COUNT(O76)=0),"",UPPER(F76&amp;"|"&amp;G76&amp;"|"&amp;J76&amp;"|"&amp;TEXT(N76,"0.000")&amp;"|"&amp;TEXT(O76,"0.000")&amp;"|"&amp;TEXT(L76,"0.000")&amp;"|"&amp;M76))</x:f>
      </x:c>
      <x:c r="AN76" s="12" t="str">
        <x:f>IF(A76="","",IF(OR(COUNTIF($C$2:$C$101,C76)&gt;1,AND(AE76&lt;&gt;"",COUNTIF($AE$2:$AE$101,AE76)&gt;1),AND(AM76&lt;&gt;"",COUNTIF($AM$2:$AM$101,AM76)&gt;1)),"BLOCK_POSSIBLE_PHYSICAL_DUPLICATE","PASS_UNIQUE_PHYSICAL_TRIP"))</x:f>
      </x:c>
      <x:c r="AO76" s="12"/>
      <x:c r="AP76" s="12" t="str">
        <x:f>IF(A76="","",IF(AND(Z76="actual",AA76&lt;&gt;"yes",W76="factor_verified",AJ76="PASS_FORMAL_PRECHECK",AN76="PASS_UNIQUE_PHYSICAL_TRIP",AO76="approved",AB76&lt;&gt;"",AD76&lt;&gt;"",AE76&lt;&gt;""),"FORMAL_APPROVED","EXCLUDED_NOT_FORMALLY_APPROVED"))</x:f>
      </x:c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>
        <x:f>IF(G77="","",LEFT(G77,7))</x:f>
      </x:c>
      <x:c r="I77" s="14" t="str">
        <x:f>IF(G77="","",LEFT(G77,4))</x:f>
      </x:c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str"/>
      <x:c r="T77" s="14" t="str"/>
      <x:c r="U77" s="14" t="str"/>
      <x:c r="V77" s="14" t="str"/>
      <x:c r="W77" s="14" t="str"/>
      <x:c r="X77" s="14" t="str">
        <x:f>IF(OR(L77="",T77=""),"",L77*T77)</x:f>
      </x:c>
      <x:c r="Y77" s="14" t="str">
        <x:f>IF(X77="","",X77/1000)</x:f>
      </x:c>
      <x:c r="Z77" s="14" t="str"/>
      <x:c r="AA77" s="14" t="str"/>
      <x:c r="AB77" s="14" t="str"/>
      <x:c r="AC77" s="14" t="str"/>
      <x:c r="AD77" s="14" t="str"/>
      <x:c r="AE77" s="14" t="str"/>
      <x:c r="AF77" s="14" t="str"/>
      <x:c r="AG77" s="14" t="str"/>
      <x:c r="AH77" s="14" t="str"/>
      <x:c r="AI77" s="14" t="str"/>
      <x:c r="AJ77" t="str">
        <x:f>IF(A77="","",IF(OR(COUNT(L77)=0,M77="",COUNT(T77)=0,U77="",C77="",F77="",G77="",J77="",COUNT(N77)=0,COUNT(O77)=0,AB77="",AD77="",AE77=""),"BLOCK_MISSING_REQUIRED",IF(L77&lt;0,"BLOCK_NEGATIVE_ACTIVITY",IF(AND(M77&lt;&gt;"L",M77&lt;&gt;"kWh",M77&lt;&gt;"km",M77&lt;&gt;"t"),"BLOCK_UNSUPPORTED_UNIT",IF(OR(AND(M77="L",U77&lt;&gt;"kgCO2e/L"),AND(M77="kWh",U77&lt;&gt;"kgCO2e/kWh"),AND(M77="km",U77&lt;&gt;"kgCO2e/km"),AND(M77="t",U77&lt;&gt;"kgCO2e/t")),"BLOCK_UNIT_MISMATCH",IF(COUNTIF($A$2:$A$101,A77)&gt;1,"BLOCK_DUPLICATE_LEDGER_ID",IF(AN77&lt;&gt;"PASS_UNIQUE_PHYSICAL_TRIP","BLOCK_POSSIBLE_PHYSICAL_DUPLICATE",IF(AND(Z77="simulated",AA77="yes"),"PASS_SIMULATED_ONLY",IF(AND(Z77="actual",AA77&lt;&gt;"yes",W77="factor_verified",AB77&lt;&gt;"",AD77&lt;&gt;"",AE77&lt;&gt;""),"PASS_FORMAL_PRECHECK","REVIEW_DATA_STATUS")))))))))</x:f>
      </x:c>
      <x:c r="AK77" t="str">
        <x:f>IF(AJ77="","",IF(AJ77="BLOCK_MISSING_REQUIRED","缺少活动量/单位/因子/趟次关键字段/证据标识",IF(AJ77="BLOCK_NEGATIVE_ACTIVITY","活动量为负，禁止进入汇总",IF(AJ77="BLOCK_UNSUPPORTED_UNIT","活动单位不在允许单位白名单中",IF(AJ77="BLOCK_UNIT_MISMATCH","活动单位与因子单位不匹配",IF(AJ77="BLOCK_DUPLICATE_LEDGER_ID","台账行ID重复，需复核",IF(AJ77="BLOCK_POSSIBLE_PHYSICAL_DUPLICATE","疑似同一物理趟次/来源行重复，冻结汇总并复核",IF(AJ77="PASS_SIMULATED_ONLY","结构检查通过，但仅供 simulated 测试",IF(AJ77="PASS_FORMAL_PRECHECK","通过结构预检；仍需人工/负责人审批","数据状态需人工复核")))))))))</x:f>
      </x:c>
      <x:c r="AL77" t="str">
        <x:f>IF(A77="","",IF(OR(Z77="simulated",AA77="yes",W77&lt;&gt;"factor_verified",AJ77&lt;&gt;"PASS_FORMAL_PRECHECK",AB77="",AD77="",AE77=""),"NOT_FORMAL_USE","ELIGIBLE_FOR_REVIEW_NOT_APPROVED"))</x:f>
      </x:c>
      <x:c r="AM77" s="12" t="str">
        <x:f>IF(OR(F77="",G77="",J77="",COUNT(L77)=0,M77="",COUNT(N77)=0,COUNT(O77)=0),"",UPPER(F77&amp;"|"&amp;G77&amp;"|"&amp;J77&amp;"|"&amp;TEXT(N77,"0.000")&amp;"|"&amp;TEXT(O77,"0.000")&amp;"|"&amp;TEXT(L77,"0.000")&amp;"|"&amp;M77))</x:f>
      </x:c>
      <x:c r="AN77" s="12" t="str">
        <x:f>IF(A77="","",IF(OR(COUNTIF($C$2:$C$101,C77)&gt;1,AND(AE77&lt;&gt;"",COUNTIF($AE$2:$AE$101,AE77)&gt;1),AND(AM77&lt;&gt;"",COUNTIF($AM$2:$AM$101,AM77)&gt;1)),"BLOCK_POSSIBLE_PHYSICAL_DUPLICATE","PASS_UNIQUE_PHYSICAL_TRIP"))</x:f>
      </x:c>
      <x:c r="AO77" s="12"/>
      <x:c r="AP77" s="12" t="str">
        <x:f>IF(A77="","",IF(AND(Z77="actual",AA77&lt;&gt;"yes",W77="factor_verified",AJ77="PASS_FORMAL_PRECHECK",AN77="PASS_UNIQUE_PHYSICAL_TRIP",AO77="approved",AB77&lt;&gt;"",AD77&lt;&gt;"",AE77&lt;&gt;""),"FORMAL_APPROVED","EXCLUDED_NOT_FORMALLY_APPROVED"))</x:f>
      </x:c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>
        <x:f>IF(G78="","",LEFT(G78,7))</x:f>
      </x:c>
      <x:c r="I78" s="14" t="str">
        <x:f>IF(G78="","",LEFT(G78,4))</x:f>
      </x:c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  <x:c r="T78" s="14" t="str"/>
      <x:c r="U78" s="14" t="str"/>
      <x:c r="V78" s="14" t="str"/>
      <x:c r="W78" s="14" t="str"/>
      <x:c r="X78" s="14" t="str">
        <x:f>IF(OR(L78="",T78=""),"",L78*T78)</x:f>
      </x:c>
      <x:c r="Y78" s="14" t="str">
        <x:f>IF(X78="","",X78/1000)</x:f>
      </x:c>
      <x:c r="Z78" s="14" t="str"/>
      <x:c r="AA78" s="14" t="str"/>
      <x:c r="AB78" s="14" t="str"/>
      <x:c r="AC78" s="14" t="str"/>
      <x:c r="AD78" s="14" t="str"/>
      <x:c r="AE78" s="14" t="str"/>
      <x:c r="AF78" s="14" t="str"/>
      <x:c r="AG78" s="14" t="str"/>
      <x:c r="AH78" s="14" t="str"/>
      <x:c r="AI78" s="14" t="str"/>
      <x:c r="AJ78" t="str">
        <x:f>IF(A78="","",IF(OR(COUNT(L78)=0,M78="",COUNT(T78)=0,U78="",C78="",F78="",G78="",J78="",COUNT(N78)=0,COUNT(O78)=0,AB78="",AD78="",AE78=""),"BLOCK_MISSING_REQUIRED",IF(L78&lt;0,"BLOCK_NEGATIVE_ACTIVITY",IF(AND(M78&lt;&gt;"L",M78&lt;&gt;"kWh",M78&lt;&gt;"km",M78&lt;&gt;"t"),"BLOCK_UNSUPPORTED_UNIT",IF(OR(AND(M78="L",U78&lt;&gt;"kgCO2e/L"),AND(M78="kWh",U78&lt;&gt;"kgCO2e/kWh"),AND(M78="km",U78&lt;&gt;"kgCO2e/km"),AND(M78="t",U78&lt;&gt;"kgCO2e/t")),"BLOCK_UNIT_MISMATCH",IF(COUNTIF($A$2:$A$101,A78)&gt;1,"BLOCK_DUPLICATE_LEDGER_ID",IF(AN78&lt;&gt;"PASS_UNIQUE_PHYSICAL_TRIP","BLOCK_POSSIBLE_PHYSICAL_DUPLICATE",IF(AND(Z78="simulated",AA78="yes"),"PASS_SIMULATED_ONLY",IF(AND(Z78="actual",AA78&lt;&gt;"yes",W78="factor_verified",AB78&lt;&gt;"",AD78&lt;&gt;"",AE78&lt;&gt;""),"PASS_FORMAL_PRECHECK","REVIEW_DATA_STATUS")))))))))</x:f>
      </x:c>
      <x:c r="AK78" t="str">
        <x:f>IF(AJ78="","",IF(AJ78="BLOCK_MISSING_REQUIRED","缺少活动量/单位/因子/趟次关键字段/证据标识",IF(AJ78="BLOCK_NEGATIVE_ACTIVITY","活动量为负，禁止进入汇总",IF(AJ78="BLOCK_UNSUPPORTED_UNIT","活动单位不在允许单位白名单中",IF(AJ78="BLOCK_UNIT_MISMATCH","活动单位与因子单位不匹配",IF(AJ78="BLOCK_DUPLICATE_LEDGER_ID","台账行ID重复，需复核",IF(AJ78="BLOCK_POSSIBLE_PHYSICAL_DUPLICATE","疑似同一物理趟次/来源行重复，冻结汇总并复核",IF(AJ78="PASS_SIMULATED_ONLY","结构检查通过，但仅供 simulated 测试",IF(AJ78="PASS_FORMAL_PRECHECK","通过结构预检；仍需人工/负责人审批","数据状态需人工复核")))))))))</x:f>
      </x:c>
      <x:c r="AL78" t="str">
        <x:f>IF(A78="","",IF(OR(Z78="simulated",AA78="yes",W78&lt;&gt;"factor_verified",AJ78&lt;&gt;"PASS_FORMAL_PRECHECK",AB78="",AD78="",AE78=""),"NOT_FORMAL_USE","ELIGIBLE_FOR_REVIEW_NOT_APPROVED"))</x:f>
      </x:c>
      <x:c r="AM78" s="12" t="str">
        <x:f>IF(OR(F78="",G78="",J78="",COUNT(L78)=0,M78="",COUNT(N78)=0,COUNT(O78)=0),"",UPPER(F78&amp;"|"&amp;G78&amp;"|"&amp;J78&amp;"|"&amp;TEXT(N78,"0.000")&amp;"|"&amp;TEXT(O78,"0.000")&amp;"|"&amp;TEXT(L78,"0.000")&amp;"|"&amp;M78))</x:f>
      </x:c>
      <x:c r="AN78" s="12" t="str">
        <x:f>IF(A78="","",IF(OR(COUNTIF($C$2:$C$101,C78)&gt;1,AND(AE78&lt;&gt;"",COUNTIF($AE$2:$AE$101,AE78)&gt;1),AND(AM78&lt;&gt;"",COUNTIF($AM$2:$AM$101,AM78)&gt;1)),"BLOCK_POSSIBLE_PHYSICAL_DUPLICATE","PASS_UNIQUE_PHYSICAL_TRIP"))</x:f>
      </x:c>
      <x:c r="AO78" s="12"/>
      <x:c r="AP78" s="12" t="str">
        <x:f>IF(A78="","",IF(AND(Z78="actual",AA78&lt;&gt;"yes",W78="factor_verified",AJ78="PASS_FORMAL_PRECHECK",AN78="PASS_UNIQUE_PHYSICAL_TRIP",AO78="approved",AB78&lt;&gt;"",AD78&lt;&gt;"",AE78&lt;&gt;""),"FORMAL_APPROVED","EXCLUDED_NOT_FORMALLY_APPROVED"))</x:f>
      </x:c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>
        <x:f>IF(G79="","",LEFT(G79,7))</x:f>
      </x:c>
      <x:c r="I79" s="14" t="str">
        <x:f>IF(G79="","",LEFT(G79,4))</x:f>
      </x:c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  <x:c r="T79" s="14" t="str"/>
      <x:c r="U79" s="14" t="str"/>
      <x:c r="V79" s="14" t="str"/>
      <x:c r="W79" s="14" t="str"/>
      <x:c r="X79" s="14" t="str">
        <x:f>IF(OR(L79="",T79=""),"",L79*T79)</x:f>
      </x:c>
      <x:c r="Y79" s="14" t="str">
        <x:f>IF(X79="","",X79/1000)</x:f>
      </x:c>
      <x:c r="Z79" s="14" t="str"/>
      <x:c r="AA79" s="14" t="str"/>
      <x:c r="AB79" s="14" t="str"/>
      <x:c r="AC79" s="14" t="str"/>
      <x:c r="AD79" s="14" t="str"/>
      <x:c r="AE79" s="14" t="str"/>
      <x:c r="AF79" s="14" t="str"/>
      <x:c r="AG79" s="14" t="str"/>
      <x:c r="AH79" s="14" t="str"/>
      <x:c r="AI79" s="14" t="str"/>
      <x:c r="AJ79" t="str">
        <x:f>IF(A79="","",IF(OR(COUNT(L79)=0,M79="",COUNT(T79)=0,U79="",C79="",F79="",G79="",J79="",COUNT(N79)=0,COUNT(O79)=0,AB79="",AD79="",AE79=""),"BLOCK_MISSING_REQUIRED",IF(L79&lt;0,"BLOCK_NEGATIVE_ACTIVITY",IF(AND(M79&lt;&gt;"L",M79&lt;&gt;"kWh",M79&lt;&gt;"km",M79&lt;&gt;"t"),"BLOCK_UNSUPPORTED_UNIT",IF(OR(AND(M79="L",U79&lt;&gt;"kgCO2e/L"),AND(M79="kWh",U79&lt;&gt;"kgCO2e/kWh"),AND(M79="km",U79&lt;&gt;"kgCO2e/km"),AND(M79="t",U79&lt;&gt;"kgCO2e/t")),"BLOCK_UNIT_MISMATCH",IF(COUNTIF($A$2:$A$101,A79)&gt;1,"BLOCK_DUPLICATE_LEDGER_ID",IF(AN79&lt;&gt;"PASS_UNIQUE_PHYSICAL_TRIP","BLOCK_POSSIBLE_PHYSICAL_DUPLICATE",IF(AND(Z79="simulated",AA79="yes"),"PASS_SIMULATED_ONLY",IF(AND(Z79="actual",AA79&lt;&gt;"yes",W79="factor_verified",AB79&lt;&gt;"",AD79&lt;&gt;"",AE79&lt;&gt;""),"PASS_FORMAL_PRECHECK","REVIEW_DATA_STATUS")))))))))</x:f>
      </x:c>
      <x:c r="AK79" t="str">
        <x:f>IF(AJ79="","",IF(AJ79="BLOCK_MISSING_REQUIRED","缺少活动量/单位/因子/趟次关键字段/证据标识",IF(AJ79="BLOCK_NEGATIVE_ACTIVITY","活动量为负，禁止进入汇总",IF(AJ79="BLOCK_UNSUPPORTED_UNIT","活动单位不在允许单位白名单中",IF(AJ79="BLOCK_UNIT_MISMATCH","活动单位与因子单位不匹配",IF(AJ79="BLOCK_DUPLICATE_LEDGER_ID","台账行ID重复，需复核",IF(AJ79="BLOCK_POSSIBLE_PHYSICAL_DUPLICATE","疑似同一物理趟次/来源行重复，冻结汇总并复核",IF(AJ79="PASS_SIMULATED_ONLY","结构检查通过，但仅供 simulated 测试",IF(AJ79="PASS_FORMAL_PRECHECK","通过结构预检；仍需人工/负责人审批","数据状态需人工复核")))))))))</x:f>
      </x:c>
      <x:c r="AL79" t="str">
        <x:f>IF(A79="","",IF(OR(Z79="simulated",AA79="yes",W79&lt;&gt;"factor_verified",AJ79&lt;&gt;"PASS_FORMAL_PRECHECK",AB79="",AD79="",AE79=""),"NOT_FORMAL_USE","ELIGIBLE_FOR_REVIEW_NOT_APPROVED"))</x:f>
      </x:c>
      <x:c r="AM79" s="12" t="str">
        <x:f>IF(OR(F79="",G79="",J79="",COUNT(L79)=0,M79="",COUNT(N79)=0,COUNT(O79)=0),"",UPPER(F79&amp;"|"&amp;G79&amp;"|"&amp;J79&amp;"|"&amp;TEXT(N79,"0.000")&amp;"|"&amp;TEXT(O79,"0.000")&amp;"|"&amp;TEXT(L79,"0.000")&amp;"|"&amp;M79))</x:f>
      </x:c>
      <x:c r="AN79" s="12" t="str">
        <x:f>IF(A79="","",IF(OR(COUNTIF($C$2:$C$101,C79)&gt;1,AND(AE79&lt;&gt;"",COUNTIF($AE$2:$AE$101,AE79)&gt;1),AND(AM79&lt;&gt;"",COUNTIF($AM$2:$AM$101,AM79)&gt;1)),"BLOCK_POSSIBLE_PHYSICAL_DUPLICATE","PASS_UNIQUE_PHYSICAL_TRIP"))</x:f>
      </x:c>
      <x:c r="AO79" s="12"/>
      <x:c r="AP79" s="12" t="str">
        <x:f>IF(A79="","",IF(AND(Z79="actual",AA79&lt;&gt;"yes",W79="factor_verified",AJ79="PASS_FORMAL_PRECHECK",AN79="PASS_UNIQUE_PHYSICAL_TRIP",AO79="approved",AB79&lt;&gt;"",AD79&lt;&gt;"",AE79&lt;&gt;""),"FORMAL_APPROVED","EXCLUDED_NOT_FORMALLY_APPROVED"))</x:f>
      </x:c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>
        <x:f>IF(G80="","",LEFT(G80,7))</x:f>
      </x:c>
      <x:c r="I80" s="14" t="str">
        <x:f>IF(G80="","",LEFT(G80,4))</x:f>
      </x:c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  <x:c r="T80" s="14" t="str"/>
      <x:c r="U80" s="14" t="str"/>
      <x:c r="V80" s="14" t="str"/>
      <x:c r="W80" s="14" t="str"/>
      <x:c r="X80" s="14" t="str">
        <x:f>IF(OR(L80="",T80=""),"",L80*T80)</x:f>
      </x:c>
      <x:c r="Y80" s="14" t="str">
        <x:f>IF(X80="","",X80/1000)</x:f>
      </x:c>
      <x:c r="Z80" s="14" t="str"/>
      <x:c r="AA80" s="14" t="str"/>
      <x:c r="AB80" s="14" t="str"/>
      <x:c r="AC80" s="14" t="str"/>
      <x:c r="AD80" s="14" t="str"/>
      <x:c r="AE80" s="14" t="str"/>
      <x:c r="AF80" s="14" t="str"/>
      <x:c r="AG80" s="14" t="str"/>
      <x:c r="AH80" s="14" t="str"/>
      <x:c r="AI80" s="14" t="str"/>
      <x:c r="AJ80" t="str">
        <x:f>IF(A80="","",IF(OR(COUNT(L80)=0,M80="",COUNT(T80)=0,U80="",C80="",F80="",G80="",J80="",COUNT(N80)=0,COUNT(O80)=0,AB80="",AD80="",AE80=""),"BLOCK_MISSING_REQUIRED",IF(L80&lt;0,"BLOCK_NEGATIVE_ACTIVITY",IF(AND(M80&lt;&gt;"L",M80&lt;&gt;"kWh",M80&lt;&gt;"km",M80&lt;&gt;"t"),"BLOCK_UNSUPPORTED_UNIT",IF(OR(AND(M80="L",U80&lt;&gt;"kgCO2e/L"),AND(M80="kWh",U80&lt;&gt;"kgCO2e/kWh"),AND(M80="km",U80&lt;&gt;"kgCO2e/km"),AND(M80="t",U80&lt;&gt;"kgCO2e/t")),"BLOCK_UNIT_MISMATCH",IF(COUNTIF($A$2:$A$101,A80)&gt;1,"BLOCK_DUPLICATE_LEDGER_ID",IF(AN80&lt;&gt;"PASS_UNIQUE_PHYSICAL_TRIP","BLOCK_POSSIBLE_PHYSICAL_DUPLICATE",IF(AND(Z80="simulated",AA80="yes"),"PASS_SIMULATED_ONLY",IF(AND(Z80="actual",AA80&lt;&gt;"yes",W80="factor_verified",AB80&lt;&gt;"",AD80&lt;&gt;"",AE80&lt;&gt;""),"PASS_FORMAL_PRECHECK","REVIEW_DATA_STATUS")))))))))</x:f>
      </x:c>
      <x:c r="AK80" t="str">
        <x:f>IF(AJ80="","",IF(AJ80="BLOCK_MISSING_REQUIRED","缺少活动量/单位/因子/趟次关键字段/证据标识",IF(AJ80="BLOCK_NEGATIVE_ACTIVITY","活动量为负，禁止进入汇总",IF(AJ80="BLOCK_UNSUPPORTED_UNIT","活动单位不在允许单位白名单中",IF(AJ80="BLOCK_UNIT_MISMATCH","活动单位与因子单位不匹配",IF(AJ80="BLOCK_DUPLICATE_LEDGER_ID","台账行ID重复，需复核",IF(AJ80="BLOCK_POSSIBLE_PHYSICAL_DUPLICATE","疑似同一物理趟次/来源行重复，冻结汇总并复核",IF(AJ80="PASS_SIMULATED_ONLY","结构检查通过，但仅供 simulated 测试",IF(AJ80="PASS_FORMAL_PRECHECK","通过结构预检；仍需人工/负责人审批","数据状态需人工复核")))))))))</x:f>
      </x:c>
      <x:c r="AL80" t="str">
        <x:f>IF(A80="","",IF(OR(Z80="simulated",AA80="yes",W80&lt;&gt;"factor_verified",AJ80&lt;&gt;"PASS_FORMAL_PRECHECK",AB80="",AD80="",AE80=""),"NOT_FORMAL_USE","ELIGIBLE_FOR_REVIEW_NOT_APPROVED"))</x:f>
      </x:c>
      <x:c r="AM80" s="12" t="str">
        <x:f>IF(OR(F80="",G80="",J80="",COUNT(L80)=0,M80="",COUNT(N80)=0,COUNT(O80)=0),"",UPPER(F80&amp;"|"&amp;G80&amp;"|"&amp;J80&amp;"|"&amp;TEXT(N80,"0.000")&amp;"|"&amp;TEXT(O80,"0.000")&amp;"|"&amp;TEXT(L80,"0.000")&amp;"|"&amp;M80))</x:f>
      </x:c>
      <x:c r="AN80" s="12" t="str">
        <x:f>IF(A80="","",IF(OR(COUNTIF($C$2:$C$101,C80)&gt;1,AND(AE80&lt;&gt;"",COUNTIF($AE$2:$AE$101,AE80)&gt;1),AND(AM80&lt;&gt;"",COUNTIF($AM$2:$AM$101,AM80)&gt;1)),"BLOCK_POSSIBLE_PHYSICAL_DUPLICATE","PASS_UNIQUE_PHYSICAL_TRIP"))</x:f>
      </x:c>
      <x:c r="AO80" s="12"/>
      <x:c r="AP80" s="12" t="str">
        <x:f>IF(A80="","",IF(AND(Z80="actual",AA80&lt;&gt;"yes",W80="factor_verified",AJ80="PASS_FORMAL_PRECHECK",AN80="PASS_UNIQUE_PHYSICAL_TRIP",AO80="approved",AB80&lt;&gt;"",AD80&lt;&gt;"",AE80&lt;&gt;""),"FORMAL_APPROVED","EXCLUDED_NOT_FORMALLY_APPROVED"))</x:f>
      </x:c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>
        <x:f>IF(G81="","",LEFT(G81,7))</x:f>
      </x:c>
      <x:c r="I81" s="14" t="str">
        <x:f>IF(G81="","",LEFT(G81,4))</x:f>
      </x:c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  <x:c r="T81" s="14" t="str"/>
      <x:c r="U81" s="14" t="str"/>
      <x:c r="V81" s="14" t="str"/>
      <x:c r="W81" s="14" t="str"/>
      <x:c r="X81" s="14" t="str">
        <x:f>IF(OR(L81="",T81=""),"",L81*T81)</x:f>
      </x:c>
      <x:c r="Y81" s="14" t="str">
        <x:f>IF(X81="","",X81/1000)</x:f>
      </x:c>
      <x:c r="Z81" s="14" t="str"/>
      <x:c r="AA81" s="14" t="str"/>
      <x:c r="AB81" s="14" t="str"/>
      <x:c r="AC81" s="14" t="str"/>
      <x:c r="AD81" s="14" t="str"/>
      <x:c r="AE81" s="14" t="str"/>
      <x:c r="AF81" s="14" t="str"/>
      <x:c r="AG81" s="14" t="str"/>
      <x:c r="AH81" s="14" t="str"/>
      <x:c r="AI81" s="14" t="str"/>
      <x:c r="AJ81" t="str">
        <x:f>IF(A81="","",IF(OR(COUNT(L81)=0,M81="",COUNT(T81)=0,U81="",C81="",F81="",G81="",J81="",COUNT(N81)=0,COUNT(O81)=0,AB81="",AD81="",AE81=""),"BLOCK_MISSING_REQUIRED",IF(L81&lt;0,"BLOCK_NEGATIVE_ACTIVITY",IF(AND(M81&lt;&gt;"L",M81&lt;&gt;"kWh",M81&lt;&gt;"km",M81&lt;&gt;"t"),"BLOCK_UNSUPPORTED_UNIT",IF(OR(AND(M81="L",U81&lt;&gt;"kgCO2e/L"),AND(M81="kWh",U81&lt;&gt;"kgCO2e/kWh"),AND(M81="km",U81&lt;&gt;"kgCO2e/km"),AND(M81="t",U81&lt;&gt;"kgCO2e/t")),"BLOCK_UNIT_MISMATCH",IF(COUNTIF($A$2:$A$101,A81)&gt;1,"BLOCK_DUPLICATE_LEDGER_ID",IF(AN81&lt;&gt;"PASS_UNIQUE_PHYSICAL_TRIP","BLOCK_POSSIBLE_PHYSICAL_DUPLICATE",IF(AND(Z81="simulated",AA81="yes"),"PASS_SIMULATED_ONLY",IF(AND(Z81="actual",AA81&lt;&gt;"yes",W81="factor_verified",AB81&lt;&gt;"",AD81&lt;&gt;"",AE81&lt;&gt;""),"PASS_FORMAL_PRECHECK","REVIEW_DATA_STATUS")))))))))</x:f>
      </x:c>
      <x:c r="AK81" t="str">
        <x:f>IF(AJ81="","",IF(AJ81="BLOCK_MISSING_REQUIRED","缺少活动量/单位/因子/趟次关键字段/证据标识",IF(AJ81="BLOCK_NEGATIVE_ACTIVITY","活动量为负，禁止进入汇总",IF(AJ81="BLOCK_UNSUPPORTED_UNIT","活动单位不在允许单位白名单中",IF(AJ81="BLOCK_UNIT_MISMATCH","活动单位与因子单位不匹配",IF(AJ81="BLOCK_DUPLICATE_LEDGER_ID","台账行ID重复，需复核",IF(AJ81="BLOCK_POSSIBLE_PHYSICAL_DUPLICATE","疑似同一物理趟次/来源行重复，冻结汇总并复核",IF(AJ81="PASS_SIMULATED_ONLY","结构检查通过，但仅供 simulated 测试",IF(AJ81="PASS_FORMAL_PRECHECK","通过结构预检；仍需人工/负责人审批","数据状态需人工复核")))))))))</x:f>
      </x:c>
      <x:c r="AL81" t="str">
        <x:f>IF(A81="","",IF(OR(Z81="simulated",AA81="yes",W81&lt;&gt;"factor_verified",AJ81&lt;&gt;"PASS_FORMAL_PRECHECK",AB81="",AD81="",AE81=""),"NOT_FORMAL_USE","ELIGIBLE_FOR_REVIEW_NOT_APPROVED"))</x:f>
      </x:c>
      <x:c r="AM81" s="12" t="str">
        <x:f>IF(OR(F81="",G81="",J81="",COUNT(L81)=0,M81="",COUNT(N81)=0,COUNT(O81)=0),"",UPPER(F81&amp;"|"&amp;G81&amp;"|"&amp;J81&amp;"|"&amp;TEXT(N81,"0.000")&amp;"|"&amp;TEXT(O81,"0.000")&amp;"|"&amp;TEXT(L81,"0.000")&amp;"|"&amp;M81))</x:f>
      </x:c>
      <x:c r="AN81" s="12" t="str">
        <x:f>IF(A81="","",IF(OR(COUNTIF($C$2:$C$101,C81)&gt;1,AND(AE81&lt;&gt;"",COUNTIF($AE$2:$AE$101,AE81)&gt;1),AND(AM81&lt;&gt;"",COUNTIF($AM$2:$AM$101,AM81)&gt;1)),"BLOCK_POSSIBLE_PHYSICAL_DUPLICATE","PASS_UNIQUE_PHYSICAL_TRIP"))</x:f>
      </x:c>
      <x:c r="AO81" s="12"/>
      <x:c r="AP81" s="12" t="str">
        <x:f>IF(A81="","",IF(AND(Z81="actual",AA81&lt;&gt;"yes",W81="factor_verified",AJ81="PASS_FORMAL_PRECHECK",AN81="PASS_UNIQUE_PHYSICAL_TRIP",AO81="approved",AB81&lt;&gt;"",AD81&lt;&gt;"",AE81&lt;&gt;""),"FORMAL_APPROVED","EXCLUDED_NOT_FORMALLY_APPROVED"))</x:f>
      </x:c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>
        <x:f>IF(G82="","",LEFT(G82,7))</x:f>
      </x:c>
      <x:c r="I82" s="14" t="str">
        <x:f>IF(G82="","",LEFT(G82,4))</x:f>
      </x:c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  <x:c r="T82" s="14" t="str"/>
      <x:c r="U82" s="14" t="str"/>
      <x:c r="V82" s="14" t="str"/>
      <x:c r="W82" s="14" t="str"/>
      <x:c r="X82" s="14" t="str">
        <x:f>IF(OR(L82="",T82=""),"",L82*T82)</x:f>
      </x:c>
      <x:c r="Y82" s="14" t="str">
        <x:f>IF(X82="","",X82/1000)</x:f>
      </x:c>
      <x:c r="Z82" s="14" t="str"/>
      <x:c r="AA82" s="14" t="str"/>
      <x:c r="AB82" s="14" t="str"/>
      <x:c r="AC82" s="14" t="str"/>
      <x:c r="AD82" s="14" t="str"/>
      <x:c r="AE82" s="14" t="str"/>
      <x:c r="AF82" s="14" t="str"/>
      <x:c r="AG82" s="14" t="str"/>
      <x:c r="AH82" s="14" t="str"/>
      <x:c r="AI82" s="14" t="str"/>
      <x:c r="AJ82" t="str">
        <x:f>IF(A82="","",IF(OR(COUNT(L82)=0,M82="",COUNT(T82)=0,U82="",C82="",F82="",G82="",J82="",COUNT(N82)=0,COUNT(O82)=0,AB82="",AD82="",AE82=""),"BLOCK_MISSING_REQUIRED",IF(L82&lt;0,"BLOCK_NEGATIVE_ACTIVITY",IF(AND(M82&lt;&gt;"L",M82&lt;&gt;"kWh",M82&lt;&gt;"km",M82&lt;&gt;"t"),"BLOCK_UNSUPPORTED_UNIT",IF(OR(AND(M82="L",U82&lt;&gt;"kgCO2e/L"),AND(M82="kWh",U82&lt;&gt;"kgCO2e/kWh"),AND(M82="km",U82&lt;&gt;"kgCO2e/km"),AND(M82="t",U82&lt;&gt;"kgCO2e/t")),"BLOCK_UNIT_MISMATCH",IF(COUNTIF($A$2:$A$101,A82)&gt;1,"BLOCK_DUPLICATE_LEDGER_ID",IF(AN82&lt;&gt;"PASS_UNIQUE_PHYSICAL_TRIP","BLOCK_POSSIBLE_PHYSICAL_DUPLICATE",IF(AND(Z82="simulated",AA82="yes"),"PASS_SIMULATED_ONLY",IF(AND(Z82="actual",AA82&lt;&gt;"yes",W82="factor_verified",AB82&lt;&gt;"",AD82&lt;&gt;"",AE82&lt;&gt;""),"PASS_FORMAL_PRECHECK","REVIEW_DATA_STATUS")))))))))</x:f>
      </x:c>
      <x:c r="AK82" t="str">
        <x:f>IF(AJ82="","",IF(AJ82="BLOCK_MISSING_REQUIRED","缺少活动量/单位/因子/趟次关键字段/证据标识",IF(AJ82="BLOCK_NEGATIVE_ACTIVITY","活动量为负，禁止进入汇总",IF(AJ82="BLOCK_UNSUPPORTED_UNIT","活动单位不在允许单位白名单中",IF(AJ82="BLOCK_UNIT_MISMATCH","活动单位与因子单位不匹配",IF(AJ82="BLOCK_DUPLICATE_LEDGER_ID","台账行ID重复，需复核",IF(AJ82="BLOCK_POSSIBLE_PHYSICAL_DUPLICATE","疑似同一物理趟次/来源行重复，冻结汇总并复核",IF(AJ82="PASS_SIMULATED_ONLY","结构检查通过，但仅供 simulated 测试",IF(AJ82="PASS_FORMAL_PRECHECK","通过结构预检；仍需人工/负责人审批","数据状态需人工复核")))))))))</x:f>
      </x:c>
      <x:c r="AL82" t="str">
        <x:f>IF(A82="","",IF(OR(Z82="simulated",AA82="yes",W82&lt;&gt;"factor_verified",AJ82&lt;&gt;"PASS_FORMAL_PRECHECK",AB82="",AD82="",AE82=""),"NOT_FORMAL_USE","ELIGIBLE_FOR_REVIEW_NOT_APPROVED"))</x:f>
      </x:c>
      <x:c r="AM82" s="12" t="str">
        <x:f>IF(OR(F82="",G82="",J82="",COUNT(L82)=0,M82="",COUNT(N82)=0,COUNT(O82)=0),"",UPPER(F82&amp;"|"&amp;G82&amp;"|"&amp;J82&amp;"|"&amp;TEXT(N82,"0.000")&amp;"|"&amp;TEXT(O82,"0.000")&amp;"|"&amp;TEXT(L82,"0.000")&amp;"|"&amp;M82))</x:f>
      </x:c>
      <x:c r="AN82" s="12" t="str">
        <x:f>IF(A82="","",IF(OR(COUNTIF($C$2:$C$101,C82)&gt;1,AND(AE82&lt;&gt;"",COUNTIF($AE$2:$AE$101,AE82)&gt;1),AND(AM82&lt;&gt;"",COUNTIF($AM$2:$AM$101,AM82)&gt;1)),"BLOCK_POSSIBLE_PHYSICAL_DUPLICATE","PASS_UNIQUE_PHYSICAL_TRIP"))</x:f>
      </x:c>
      <x:c r="AO82" s="12"/>
      <x:c r="AP82" s="12" t="str">
        <x:f>IF(A82="","",IF(AND(Z82="actual",AA82&lt;&gt;"yes",W82="factor_verified",AJ82="PASS_FORMAL_PRECHECK",AN82="PASS_UNIQUE_PHYSICAL_TRIP",AO82="approved",AB82&lt;&gt;"",AD82&lt;&gt;"",AE82&lt;&gt;""),"FORMAL_APPROVED","EXCLUDED_NOT_FORMALLY_APPROVED"))</x:f>
      </x:c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>
        <x:f>IF(G83="","",LEFT(G83,7))</x:f>
      </x:c>
      <x:c r="I83" s="14" t="str">
        <x:f>IF(G83="","",LEFT(G83,4))</x:f>
      </x:c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  <x:c r="T83" s="14" t="str"/>
      <x:c r="U83" s="14" t="str"/>
      <x:c r="V83" s="14" t="str"/>
      <x:c r="W83" s="14" t="str"/>
      <x:c r="X83" s="14" t="str">
        <x:f>IF(OR(L83="",T83=""),"",L83*T83)</x:f>
      </x:c>
      <x:c r="Y83" s="14" t="str">
        <x:f>IF(X83="","",X83/1000)</x:f>
      </x:c>
      <x:c r="Z83" s="14" t="str"/>
      <x:c r="AA83" s="14" t="str"/>
      <x:c r="AB83" s="14" t="str"/>
      <x:c r="AC83" s="14" t="str"/>
      <x:c r="AD83" s="14" t="str"/>
      <x:c r="AE83" s="14" t="str"/>
      <x:c r="AF83" s="14" t="str"/>
      <x:c r="AG83" s="14" t="str"/>
      <x:c r="AH83" s="14" t="str"/>
      <x:c r="AI83" s="14" t="str"/>
      <x:c r="AJ83" t="str">
        <x:f>IF(A83="","",IF(OR(COUNT(L83)=0,M83="",COUNT(T83)=0,U83="",C83="",F83="",G83="",J83="",COUNT(N83)=0,COUNT(O83)=0,AB83="",AD83="",AE83=""),"BLOCK_MISSING_REQUIRED",IF(L83&lt;0,"BLOCK_NEGATIVE_ACTIVITY",IF(AND(M83&lt;&gt;"L",M83&lt;&gt;"kWh",M83&lt;&gt;"km",M83&lt;&gt;"t"),"BLOCK_UNSUPPORTED_UNIT",IF(OR(AND(M83="L",U83&lt;&gt;"kgCO2e/L"),AND(M83="kWh",U83&lt;&gt;"kgCO2e/kWh"),AND(M83="km",U83&lt;&gt;"kgCO2e/km"),AND(M83="t",U83&lt;&gt;"kgCO2e/t")),"BLOCK_UNIT_MISMATCH",IF(COUNTIF($A$2:$A$101,A83)&gt;1,"BLOCK_DUPLICATE_LEDGER_ID",IF(AN83&lt;&gt;"PASS_UNIQUE_PHYSICAL_TRIP","BLOCK_POSSIBLE_PHYSICAL_DUPLICATE",IF(AND(Z83="simulated",AA83="yes"),"PASS_SIMULATED_ONLY",IF(AND(Z83="actual",AA83&lt;&gt;"yes",W83="factor_verified",AB83&lt;&gt;"",AD83&lt;&gt;"",AE83&lt;&gt;""),"PASS_FORMAL_PRECHECK","REVIEW_DATA_STATUS")))))))))</x:f>
      </x:c>
      <x:c r="AK83" t="str">
        <x:f>IF(AJ83="","",IF(AJ83="BLOCK_MISSING_REQUIRED","缺少活动量/单位/因子/趟次关键字段/证据标识",IF(AJ83="BLOCK_NEGATIVE_ACTIVITY","活动量为负，禁止进入汇总",IF(AJ83="BLOCK_UNSUPPORTED_UNIT","活动单位不在允许单位白名单中",IF(AJ83="BLOCK_UNIT_MISMATCH","活动单位与因子单位不匹配",IF(AJ83="BLOCK_DUPLICATE_LEDGER_ID","台账行ID重复，需复核",IF(AJ83="BLOCK_POSSIBLE_PHYSICAL_DUPLICATE","疑似同一物理趟次/来源行重复，冻结汇总并复核",IF(AJ83="PASS_SIMULATED_ONLY","结构检查通过，但仅供 simulated 测试",IF(AJ83="PASS_FORMAL_PRECHECK","通过结构预检；仍需人工/负责人审批","数据状态需人工复核")))))))))</x:f>
      </x:c>
      <x:c r="AL83" t="str">
        <x:f>IF(A83="","",IF(OR(Z83="simulated",AA83="yes",W83&lt;&gt;"factor_verified",AJ83&lt;&gt;"PASS_FORMAL_PRECHECK",AB83="",AD83="",AE83=""),"NOT_FORMAL_USE","ELIGIBLE_FOR_REVIEW_NOT_APPROVED"))</x:f>
      </x:c>
      <x:c r="AM83" s="12" t="str">
        <x:f>IF(OR(F83="",G83="",J83="",COUNT(L83)=0,M83="",COUNT(N83)=0,COUNT(O83)=0),"",UPPER(F83&amp;"|"&amp;G83&amp;"|"&amp;J83&amp;"|"&amp;TEXT(N83,"0.000")&amp;"|"&amp;TEXT(O83,"0.000")&amp;"|"&amp;TEXT(L83,"0.000")&amp;"|"&amp;M83))</x:f>
      </x:c>
      <x:c r="AN83" s="12" t="str">
        <x:f>IF(A83="","",IF(OR(COUNTIF($C$2:$C$101,C83)&gt;1,AND(AE83&lt;&gt;"",COUNTIF($AE$2:$AE$101,AE83)&gt;1),AND(AM83&lt;&gt;"",COUNTIF($AM$2:$AM$101,AM83)&gt;1)),"BLOCK_POSSIBLE_PHYSICAL_DUPLICATE","PASS_UNIQUE_PHYSICAL_TRIP"))</x:f>
      </x:c>
      <x:c r="AO83" s="12"/>
      <x:c r="AP83" s="12" t="str">
        <x:f>IF(A83="","",IF(AND(Z83="actual",AA83&lt;&gt;"yes",W83="factor_verified",AJ83="PASS_FORMAL_PRECHECK",AN83="PASS_UNIQUE_PHYSICAL_TRIP",AO83="approved",AB83&lt;&gt;"",AD83&lt;&gt;"",AE83&lt;&gt;""),"FORMAL_APPROVED","EXCLUDED_NOT_FORMALLY_APPROVED"))</x:f>
      </x:c>
    </x:row>
    <x:row r="84">
      <x:c r="A84" s="14" t="str"/>
      <x:c r="B84" s="14" t="str"/>
      <x:c r="C84" s="14" t="str"/>
      <x:c r="D84" s="14" t="str"/>
      <x:c r="E84" s="14" t="str"/>
      <x:c r="F84" s="14" t="str"/>
      <x:c r="G84" s="14" t="str"/>
      <x:c r="H84" s="14" t="str">
        <x:f>IF(G84="","",LEFT(G84,7))</x:f>
      </x:c>
      <x:c r="I84" s="14" t="str">
        <x:f>IF(G84="","",LEFT(G84,4))</x:f>
      </x:c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str"/>
      <x:c r="T84" s="14" t="str"/>
      <x:c r="U84" s="14" t="str"/>
      <x:c r="V84" s="14" t="str"/>
      <x:c r="W84" s="14" t="str"/>
      <x:c r="X84" s="14" t="str">
        <x:f>IF(OR(L84="",T84=""),"",L84*T84)</x:f>
      </x:c>
      <x:c r="Y84" s="14" t="str">
        <x:f>IF(X84="","",X84/1000)</x:f>
      </x:c>
      <x:c r="Z84" s="14" t="str"/>
      <x:c r="AA84" s="14" t="str"/>
      <x:c r="AB84" s="14" t="str"/>
      <x:c r="AC84" s="14" t="str"/>
      <x:c r="AD84" s="14" t="str"/>
      <x:c r="AE84" s="14" t="str"/>
      <x:c r="AF84" s="14" t="str"/>
      <x:c r="AG84" s="14" t="str"/>
      <x:c r="AH84" s="14" t="str"/>
      <x:c r="AI84" s="14" t="str"/>
      <x:c r="AJ84" t="str">
        <x:f>IF(A84="","",IF(OR(COUNT(L84)=0,M84="",COUNT(T84)=0,U84="",C84="",F84="",G84="",J84="",COUNT(N84)=0,COUNT(O84)=0,AB84="",AD84="",AE84=""),"BLOCK_MISSING_REQUIRED",IF(L84&lt;0,"BLOCK_NEGATIVE_ACTIVITY",IF(AND(M84&lt;&gt;"L",M84&lt;&gt;"kWh",M84&lt;&gt;"km",M84&lt;&gt;"t"),"BLOCK_UNSUPPORTED_UNIT",IF(OR(AND(M84="L",U84&lt;&gt;"kgCO2e/L"),AND(M84="kWh",U84&lt;&gt;"kgCO2e/kWh"),AND(M84="km",U84&lt;&gt;"kgCO2e/km"),AND(M84="t",U84&lt;&gt;"kgCO2e/t")),"BLOCK_UNIT_MISMATCH",IF(COUNTIF($A$2:$A$101,A84)&gt;1,"BLOCK_DUPLICATE_LEDGER_ID",IF(AN84&lt;&gt;"PASS_UNIQUE_PHYSICAL_TRIP","BLOCK_POSSIBLE_PHYSICAL_DUPLICATE",IF(AND(Z84="simulated",AA84="yes"),"PASS_SIMULATED_ONLY",IF(AND(Z84="actual",AA84&lt;&gt;"yes",W84="factor_verified",AB84&lt;&gt;"",AD84&lt;&gt;"",AE84&lt;&gt;""),"PASS_FORMAL_PRECHECK","REVIEW_DATA_STATUS")))))))))</x:f>
      </x:c>
      <x:c r="AK84" t="str">
        <x:f>IF(AJ84="","",IF(AJ84="BLOCK_MISSING_REQUIRED","缺少活动量/单位/因子/趟次关键字段/证据标识",IF(AJ84="BLOCK_NEGATIVE_ACTIVITY","活动量为负，禁止进入汇总",IF(AJ84="BLOCK_UNSUPPORTED_UNIT","活动单位不在允许单位白名单中",IF(AJ84="BLOCK_UNIT_MISMATCH","活动单位与因子单位不匹配",IF(AJ84="BLOCK_DUPLICATE_LEDGER_ID","台账行ID重复，需复核",IF(AJ84="BLOCK_POSSIBLE_PHYSICAL_DUPLICATE","疑似同一物理趟次/来源行重复，冻结汇总并复核",IF(AJ84="PASS_SIMULATED_ONLY","结构检查通过，但仅供 simulated 测试",IF(AJ84="PASS_FORMAL_PRECHECK","通过结构预检；仍需人工/负责人审批","数据状态需人工复核")))))))))</x:f>
      </x:c>
      <x:c r="AL84" t="str">
        <x:f>IF(A84="","",IF(OR(Z84="simulated",AA84="yes",W84&lt;&gt;"factor_verified",AJ84&lt;&gt;"PASS_FORMAL_PRECHECK",AB84="",AD84="",AE84=""),"NOT_FORMAL_USE","ELIGIBLE_FOR_REVIEW_NOT_APPROVED"))</x:f>
      </x:c>
      <x:c r="AM84" s="12" t="str">
        <x:f>IF(OR(F84="",G84="",J84="",COUNT(L84)=0,M84="",COUNT(N84)=0,COUNT(O84)=0),"",UPPER(F84&amp;"|"&amp;G84&amp;"|"&amp;J84&amp;"|"&amp;TEXT(N84,"0.000")&amp;"|"&amp;TEXT(O84,"0.000")&amp;"|"&amp;TEXT(L84,"0.000")&amp;"|"&amp;M84))</x:f>
      </x:c>
      <x:c r="AN84" s="12" t="str">
        <x:f>IF(A84="","",IF(OR(COUNTIF($C$2:$C$101,C84)&gt;1,AND(AE84&lt;&gt;"",COUNTIF($AE$2:$AE$101,AE84)&gt;1),AND(AM84&lt;&gt;"",COUNTIF($AM$2:$AM$101,AM84)&gt;1)),"BLOCK_POSSIBLE_PHYSICAL_DUPLICATE","PASS_UNIQUE_PHYSICAL_TRIP"))</x:f>
      </x:c>
      <x:c r="AO84" s="12"/>
      <x:c r="AP84" s="12" t="str">
        <x:f>IF(A84="","",IF(AND(Z84="actual",AA84&lt;&gt;"yes",W84="factor_verified",AJ84="PASS_FORMAL_PRECHECK",AN84="PASS_UNIQUE_PHYSICAL_TRIP",AO84="approved",AB84&lt;&gt;"",AD84&lt;&gt;"",AE84&lt;&gt;""),"FORMAL_APPROVED","EXCLUDED_NOT_FORMALLY_APPROVED"))</x:f>
      </x:c>
    </x:row>
    <x:row r="85">
      <x:c r="A85" s="14" t="str"/>
      <x:c r="B85" s="14" t="str"/>
      <x:c r="C85" s="14" t="str"/>
      <x:c r="D85" s="14" t="str"/>
      <x:c r="E85" s="14" t="str"/>
      <x:c r="F85" s="14" t="str"/>
      <x:c r="G85" s="14" t="str"/>
      <x:c r="H85" s="14" t="str">
        <x:f>IF(G85="","",LEFT(G85,7))</x:f>
      </x:c>
      <x:c r="I85" s="14" t="str">
        <x:f>IF(G85="","",LEFT(G85,4))</x:f>
      </x:c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  <x:c r="T85" s="14" t="str"/>
      <x:c r="U85" s="14" t="str"/>
      <x:c r="V85" s="14" t="str"/>
      <x:c r="W85" s="14" t="str"/>
      <x:c r="X85" s="14" t="str">
        <x:f>IF(OR(L85="",T85=""),"",L85*T85)</x:f>
      </x:c>
      <x:c r="Y85" s="14" t="str">
        <x:f>IF(X85="","",X85/1000)</x:f>
      </x:c>
      <x:c r="Z85" s="14" t="str"/>
      <x:c r="AA85" s="14" t="str"/>
      <x:c r="AB85" s="14" t="str"/>
      <x:c r="AC85" s="14" t="str"/>
      <x:c r="AD85" s="14" t="str"/>
      <x:c r="AE85" s="14" t="str"/>
      <x:c r="AF85" s="14" t="str"/>
      <x:c r="AG85" s="14" t="str"/>
      <x:c r="AH85" s="14" t="str"/>
      <x:c r="AI85" s="14" t="str"/>
      <x:c r="AJ85" t="str">
        <x:f>IF(A85="","",IF(OR(COUNT(L85)=0,M85="",COUNT(T85)=0,U85="",C85="",F85="",G85="",J85="",COUNT(N85)=0,COUNT(O85)=0,AB85="",AD85="",AE85=""),"BLOCK_MISSING_REQUIRED",IF(L85&lt;0,"BLOCK_NEGATIVE_ACTIVITY",IF(AND(M85&lt;&gt;"L",M85&lt;&gt;"kWh",M85&lt;&gt;"km",M85&lt;&gt;"t"),"BLOCK_UNSUPPORTED_UNIT",IF(OR(AND(M85="L",U85&lt;&gt;"kgCO2e/L"),AND(M85="kWh",U85&lt;&gt;"kgCO2e/kWh"),AND(M85="km",U85&lt;&gt;"kgCO2e/km"),AND(M85="t",U85&lt;&gt;"kgCO2e/t")),"BLOCK_UNIT_MISMATCH",IF(COUNTIF($A$2:$A$101,A85)&gt;1,"BLOCK_DUPLICATE_LEDGER_ID",IF(AN85&lt;&gt;"PASS_UNIQUE_PHYSICAL_TRIP","BLOCK_POSSIBLE_PHYSICAL_DUPLICATE",IF(AND(Z85="simulated",AA85="yes"),"PASS_SIMULATED_ONLY",IF(AND(Z85="actual",AA85&lt;&gt;"yes",W85="factor_verified",AB85&lt;&gt;"",AD85&lt;&gt;"",AE85&lt;&gt;""),"PASS_FORMAL_PRECHECK","REVIEW_DATA_STATUS")))))))))</x:f>
      </x:c>
      <x:c r="AK85" t="str">
        <x:f>IF(AJ85="","",IF(AJ85="BLOCK_MISSING_REQUIRED","缺少活动量/单位/因子/趟次关键字段/证据标识",IF(AJ85="BLOCK_NEGATIVE_ACTIVITY","活动量为负，禁止进入汇总",IF(AJ85="BLOCK_UNSUPPORTED_UNIT","活动单位不在允许单位白名单中",IF(AJ85="BLOCK_UNIT_MISMATCH","活动单位与因子单位不匹配",IF(AJ85="BLOCK_DUPLICATE_LEDGER_ID","台账行ID重复，需复核",IF(AJ85="BLOCK_POSSIBLE_PHYSICAL_DUPLICATE","疑似同一物理趟次/来源行重复，冻结汇总并复核",IF(AJ85="PASS_SIMULATED_ONLY","结构检查通过，但仅供 simulated 测试",IF(AJ85="PASS_FORMAL_PRECHECK","通过结构预检；仍需人工/负责人审批","数据状态需人工复核")))))))))</x:f>
      </x:c>
      <x:c r="AL85" t="str">
        <x:f>IF(A85="","",IF(OR(Z85="simulated",AA85="yes",W85&lt;&gt;"factor_verified",AJ85&lt;&gt;"PASS_FORMAL_PRECHECK",AB85="",AD85="",AE85=""),"NOT_FORMAL_USE","ELIGIBLE_FOR_REVIEW_NOT_APPROVED"))</x:f>
      </x:c>
      <x:c r="AM85" s="12" t="str">
        <x:f>IF(OR(F85="",G85="",J85="",COUNT(L85)=0,M85="",COUNT(N85)=0,COUNT(O85)=0),"",UPPER(F85&amp;"|"&amp;G85&amp;"|"&amp;J85&amp;"|"&amp;TEXT(N85,"0.000")&amp;"|"&amp;TEXT(O85,"0.000")&amp;"|"&amp;TEXT(L85,"0.000")&amp;"|"&amp;M85))</x:f>
      </x:c>
      <x:c r="AN85" s="12" t="str">
        <x:f>IF(A85="","",IF(OR(COUNTIF($C$2:$C$101,C85)&gt;1,AND(AE85&lt;&gt;"",COUNTIF($AE$2:$AE$101,AE85)&gt;1),AND(AM85&lt;&gt;"",COUNTIF($AM$2:$AM$101,AM85)&gt;1)),"BLOCK_POSSIBLE_PHYSICAL_DUPLICATE","PASS_UNIQUE_PHYSICAL_TRIP"))</x:f>
      </x:c>
      <x:c r="AO85" s="12"/>
      <x:c r="AP85" s="12" t="str">
        <x:f>IF(A85="","",IF(AND(Z85="actual",AA85&lt;&gt;"yes",W85="factor_verified",AJ85="PASS_FORMAL_PRECHECK",AN85="PASS_UNIQUE_PHYSICAL_TRIP",AO85="approved",AB85&lt;&gt;"",AD85&lt;&gt;"",AE85&lt;&gt;""),"FORMAL_APPROVED","EXCLUDED_NOT_FORMALLY_APPROVED"))</x:f>
      </x:c>
    </x:row>
    <x:row r="86">
      <x:c r="A86" s="14" t="str"/>
      <x:c r="B86" s="14" t="str"/>
      <x:c r="C86" s="14" t="str"/>
      <x:c r="D86" s="14" t="str"/>
      <x:c r="E86" s="14" t="str"/>
      <x:c r="F86" s="14" t="str"/>
      <x:c r="G86" s="14" t="str"/>
      <x:c r="H86" s="14" t="str">
        <x:f>IF(G86="","",LEFT(G86,7))</x:f>
      </x:c>
      <x:c r="I86" s="14" t="str">
        <x:f>IF(G86="","",LEFT(G86,4))</x:f>
      </x:c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  <x:c r="T86" s="14" t="str"/>
      <x:c r="U86" s="14" t="str"/>
      <x:c r="V86" s="14" t="str"/>
      <x:c r="W86" s="14" t="str"/>
      <x:c r="X86" s="14" t="str">
        <x:f>IF(OR(L86="",T86=""),"",L86*T86)</x:f>
      </x:c>
      <x:c r="Y86" s="14" t="str">
        <x:f>IF(X86="","",X86/1000)</x:f>
      </x:c>
      <x:c r="Z86" s="14" t="str"/>
      <x:c r="AA86" s="14" t="str"/>
      <x:c r="AB86" s="14" t="str"/>
      <x:c r="AC86" s="14" t="str"/>
      <x:c r="AD86" s="14" t="str"/>
      <x:c r="AE86" s="14" t="str"/>
      <x:c r="AF86" s="14" t="str"/>
      <x:c r="AG86" s="14" t="str"/>
      <x:c r="AH86" s="14" t="str"/>
      <x:c r="AI86" s="14" t="str"/>
      <x:c r="AJ86" t="str">
        <x:f>IF(A86="","",IF(OR(COUNT(L86)=0,M86="",COUNT(T86)=0,U86="",C86="",F86="",G86="",J86="",COUNT(N86)=0,COUNT(O86)=0,AB86="",AD86="",AE86=""),"BLOCK_MISSING_REQUIRED",IF(L86&lt;0,"BLOCK_NEGATIVE_ACTIVITY",IF(AND(M86&lt;&gt;"L",M86&lt;&gt;"kWh",M86&lt;&gt;"km",M86&lt;&gt;"t"),"BLOCK_UNSUPPORTED_UNIT",IF(OR(AND(M86="L",U86&lt;&gt;"kgCO2e/L"),AND(M86="kWh",U86&lt;&gt;"kgCO2e/kWh"),AND(M86="km",U86&lt;&gt;"kgCO2e/km"),AND(M86="t",U86&lt;&gt;"kgCO2e/t")),"BLOCK_UNIT_MISMATCH",IF(COUNTIF($A$2:$A$101,A86)&gt;1,"BLOCK_DUPLICATE_LEDGER_ID",IF(AN86&lt;&gt;"PASS_UNIQUE_PHYSICAL_TRIP","BLOCK_POSSIBLE_PHYSICAL_DUPLICATE",IF(AND(Z86="simulated",AA86="yes"),"PASS_SIMULATED_ONLY",IF(AND(Z86="actual",AA86&lt;&gt;"yes",W86="factor_verified",AB86&lt;&gt;"",AD86&lt;&gt;"",AE86&lt;&gt;""),"PASS_FORMAL_PRECHECK","REVIEW_DATA_STATUS")))))))))</x:f>
      </x:c>
      <x:c r="AK86" t="str">
        <x:f>IF(AJ86="","",IF(AJ86="BLOCK_MISSING_REQUIRED","缺少活动量/单位/因子/趟次关键字段/证据标识",IF(AJ86="BLOCK_NEGATIVE_ACTIVITY","活动量为负，禁止进入汇总",IF(AJ86="BLOCK_UNSUPPORTED_UNIT","活动单位不在允许单位白名单中",IF(AJ86="BLOCK_UNIT_MISMATCH","活动单位与因子单位不匹配",IF(AJ86="BLOCK_DUPLICATE_LEDGER_ID","台账行ID重复，需复核",IF(AJ86="BLOCK_POSSIBLE_PHYSICAL_DUPLICATE","疑似同一物理趟次/来源行重复，冻结汇总并复核",IF(AJ86="PASS_SIMULATED_ONLY","结构检查通过，但仅供 simulated 测试",IF(AJ86="PASS_FORMAL_PRECHECK","通过结构预检；仍需人工/负责人审批","数据状态需人工复核")))))))))</x:f>
      </x:c>
      <x:c r="AL86" t="str">
        <x:f>IF(A86="","",IF(OR(Z86="simulated",AA86="yes",W86&lt;&gt;"factor_verified",AJ86&lt;&gt;"PASS_FORMAL_PRECHECK",AB86="",AD86="",AE86=""),"NOT_FORMAL_USE","ELIGIBLE_FOR_REVIEW_NOT_APPROVED"))</x:f>
      </x:c>
      <x:c r="AM86" s="12" t="str">
        <x:f>IF(OR(F86="",G86="",J86="",COUNT(L86)=0,M86="",COUNT(N86)=0,COUNT(O86)=0),"",UPPER(F86&amp;"|"&amp;G86&amp;"|"&amp;J86&amp;"|"&amp;TEXT(N86,"0.000")&amp;"|"&amp;TEXT(O86,"0.000")&amp;"|"&amp;TEXT(L86,"0.000")&amp;"|"&amp;M86))</x:f>
      </x:c>
      <x:c r="AN86" s="12" t="str">
        <x:f>IF(A86="","",IF(OR(COUNTIF($C$2:$C$101,C86)&gt;1,AND(AE86&lt;&gt;"",COUNTIF($AE$2:$AE$101,AE86)&gt;1),AND(AM86&lt;&gt;"",COUNTIF($AM$2:$AM$101,AM86)&gt;1)),"BLOCK_POSSIBLE_PHYSICAL_DUPLICATE","PASS_UNIQUE_PHYSICAL_TRIP"))</x:f>
      </x:c>
      <x:c r="AO86" s="12"/>
      <x:c r="AP86" s="12" t="str">
        <x:f>IF(A86="","",IF(AND(Z86="actual",AA86&lt;&gt;"yes",W86="factor_verified",AJ86="PASS_FORMAL_PRECHECK",AN86="PASS_UNIQUE_PHYSICAL_TRIP",AO86="approved",AB86&lt;&gt;"",AD86&lt;&gt;"",AE86&lt;&gt;""),"FORMAL_APPROVED","EXCLUDED_NOT_FORMALLY_APPROVED"))</x:f>
      </x:c>
    </x:row>
    <x:row r="87">
      <x:c r="A87" s="14" t="str"/>
      <x:c r="B87" s="14" t="str"/>
      <x:c r="C87" s="14" t="str"/>
      <x:c r="D87" s="14" t="str"/>
      <x:c r="E87" s="14" t="str"/>
      <x:c r="F87" s="14" t="str"/>
      <x:c r="G87" s="14" t="str"/>
      <x:c r="H87" s="14" t="str">
        <x:f>IF(G87="","",LEFT(G87,7))</x:f>
      </x:c>
      <x:c r="I87" s="14" t="str">
        <x:f>IF(G87="","",LEFT(G87,4))</x:f>
      </x:c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  <x:c r="T87" s="14" t="str"/>
      <x:c r="U87" s="14" t="str"/>
      <x:c r="V87" s="14" t="str"/>
      <x:c r="W87" s="14" t="str"/>
      <x:c r="X87" s="14" t="str">
        <x:f>IF(OR(L87="",T87=""),"",L87*T87)</x:f>
      </x:c>
      <x:c r="Y87" s="14" t="str">
        <x:f>IF(X87="","",X87/1000)</x:f>
      </x:c>
      <x:c r="Z87" s="14" t="str"/>
      <x:c r="AA87" s="14" t="str"/>
      <x:c r="AB87" s="14" t="str"/>
      <x:c r="AC87" s="14" t="str"/>
      <x:c r="AD87" s="14" t="str"/>
      <x:c r="AE87" s="14" t="str"/>
      <x:c r="AF87" s="14" t="str"/>
      <x:c r="AG87" s="14" t="str"/>
      <x:c r="AH87" s="14" t="str"/>
      <x:c r="AI87" s="14" t="str"/>
      <x:c r="AJ87" t="str">
        <x:f>IF(A87="","",IF(OR(COUNT(L87)=0,M87="",COUNT(T87)=0,U87="",C87="",F87="",G87="",J87="",COUNT(N87)=0,COUNT(O87)=0,AB87="",AD87="",AE87=""),"BLOCK_MISSING_REQUIRED",IF(L87&lt;0,"BLOCK_NEGATIVE_ACTIVITY",IF(AND(M87&lt;&gt;"L",M87&lt;&gt;"kWh",M87&lt;&gt;"km",M87&lt;&gt;"t"),"BLOCK_UNSUPPORTED_UNIT",IF(OR(AND(M87="L",U87&lt;&gt;"kgCO2e/L"),AND(M87="kWh",U87&lt;&gt;"kgCO2e/kWh"),AND(M87="km",U87&lt;&gt;"kgCO2e/km"),AND(M87="t",U87&lt;&gt;"kgCO2e/t")),"BLOCK_UNIT_MISMATCH",IF(COUNTIF($A$2:$A$101,A87)&gt;1,"BLOCK_DUPLICATE_LEDGER_ID",IF(AN87&lt;&gt;"PASS_UNIQUE_PHYSICAL_TRIP","BLOCK_POSSIBLE_PHYSICAL_DUPLICATE",IF(AND(Z87="simulated",AA87="yes"),"PASS_SIMULATED_ONLY",IF(AND(Z87="actual",AA87&lt;&gt;"yes",W87="factor_verified",AB87&lt;&gt;"",AD87&lt;&gt;"",AE87&lt;&gt;""),"PASS_FORMAL_PRECHECK","REVIEW_DATA_STATUS")))))))))</x:f>
      </x:c>
      <x:c r="AK87" t="str">
        <x:f>IF(AJ87="","",IF(AJ87="BLOCK_MISSING_REQUIRED","缺少活动量/单位/因子/趟次关键字段/证据标识",IF(AJ87="BLOCK_NEGATIVE_ACTIVITY","活动量为负，禁止进入汇总",IF(AJ87="BLOCK_UNSUPPORTED_UNIT","活动单位不在允许单位白名单中",IF(AJ87="BLOCK_UNIT_MISMATCH","活动单位与因子单位不匹配",IF(AJ87="BLOCK_DUPLICATE_LEDGER_ID","台账行ID重复，需复核",IF(AJ87="BLOCK_POSSIBLE_PHYSICAL_DUPLICATE","疑似同一物理趟次/来源行重复，冻结汇总并复核",IF(AJ87="PASS_SIMULATED_ONLY","结构检查通过，但仅供 simulated 测试",IF(AJ87="PASS_FORMAL_PRECHECK","通过结构预检；仍需人工/负责人审批","数据状态需人工复核")))))))))</x:f>
      </x:c>
      <x:c r="AL87" t="str">
        <x:f>IF(A87="","",IF(OR(Z87="simulated",AA87="yes",W87&lt;&gt;"factor_verified",AJ87&lt;&gt;"PASS_FORMAL_PRECHECK",AB87="",AD87="",AE87=""),"NOT_FORMAL_USE","ELIGIBLE_FOR_REVIEW_NOT_APPROVED"))</x:f>
      </x:c>
      <x:c r="AM87" s="12" t="str">
        <x:f>IF(OR(F87="",G87="",J87="",COUNT(L87)=0,M87="",COUNT(N87)=0,COUNT(O87)=0),"",UPPER(F87&amp;"|"&amp;G87&amp;"|"&amp;J87&amp;"|"&amp;TEXT(N87,"0.000")&amp;"|"&amp;TEXT(O87,"0.000")&amp;"|"&amp;TEXT(L87,"0.000")&amp;"|"&amp;M87))</x:f>
      </x:c>
      <x:c r="AN87" s="12" t="str">
        <x:f>IF(A87="","",IF(OR(COUNTIF($C$2:$C$101,C87)&gt;1,AND(AE87&lt;&gt;"",COUNTIF($AE$2:$AE$101,AE87)&gt;1),AND(AM87&lt;&gt;"",COUNTIF($AM$2:$AM$101,AM87)&gt;1)),"BLOCK_POSSIBLE_PHYSICAL_DUPLICATE","PASS_UNIQUE_PHYSICAL_TRIP"))</x:f>
      </x:c>
      <x:c r="AO87" s="12"/>
      <x:c r="AP87" s="12" t="str">
        <x:f>IF(A87="","",IF(AND(Z87="actual",AA87&lt;&gt;"yes",W87="factor_verified",AJ87="PASS_FORMAL_PRECHECK",AN87="PASS_UNIQUE_PHYSICAL_TRIP",AO87="approved",AB87&lt;&gt;"",AD87&lt;&gt;"",AE87&lt;&gt;""),"FORMAL_APPROVED","EXCLUDED_NOT_FORMALLY_APPROVED"))</x:f>
      </x:c>
    </x:row>
    <x:row r="88">
      <x:c r="A88" s="14" t="str"/>
      <x:c r="B88" s="14" t="str"/>
      <x:c r="C88" s="14" t="str"/>
      <x:c r="D88" s="14" t="str"/>
      <x:c r="E88" s="14" t="str"/>
      <x:c r="F88" s="14" t="str"/>
      <x:c r="G88" s="14" t="str"/>
      <x:c r="H88" s="14" t="str">
        <x:f>IF(G88="","",LEFT(G88,7))</x:f>
      </x:c>
      <x:c r="I88" s="14" t="str">
        <x:f>IF(G88="","",LEFT(G88,4))</x:f>
      </x:c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str"/>
      <x:c r="T88" s="14" t="str"/>
      <x:c r="U88" s="14" t="str"/>
      <x:c r="V88" s="14" t="str"/>
      <x:c r="W88" s="14" t="str"/>
      <x:c r="X88" s="14" t="str">
        <x:f>IF(OR(L88="",T88=""),"",L88*T88)</x:f>
      </x:c>
      <x:c r="Y88" s="14" t="str">
        <x:f>IF(X88="","",X88/1000)</x:f>
      </x:c>
      <x:c r="Z88" s="14" t="str"/>
      <x:c r="AA88" s="14" t="str"/>
      <x:c r="AB88" s="14" t="str"/>
      <x:c r="AC88" s="14" t="str"/>
      <x:c r="AD88" s="14" t="str"/>
      <x:c r="AE88" s="14" t="str"/>
      <x:c r="AF88" s="14" t="str"/>
      <x:c r="AG88" s="14" t="str"/>
      <x:c r="AH88" s="14" t="str"/>
      <x:c r="AI88" s="14" t="str"/>
      <x:c r="AJ88" t="str">
        <x:f>IF(A88="","",IF(OR(COUNT(L88)=0,M88="",COUNT(T88)=0,U88="",C88="",F88="",G88="",J88="",COUNT(N88)=0,COUNT(O88)=0,AB88="",AD88="",AE88=""),"BLOCK_MISSING_REQUIRED",IF(L88&lt;0,"BLOCK_NEGATIVE_ACTIVITY",IF(AND(M88&lt;&gt;"L",M88&lt;&gt;"kWh",M88&lt;&gt;"km",M88&lt;&gt;"t"),"BLOCK_UNSUPPORTED_UNIT",IF(OR(AND(M88="L",U88&lt;&gt;"kgCO2e/L"),AND(M88="kWh",U88&lt;&gt;"kgCO2e/kWh"),AND(M88="km",U88&lt;&gt;"kgCO2e/km"),AND(M88="t",U88&lt;&gt;"kgCO2e/t")),"BLOCK_UNIT_MISMATCH",IF(COUNTIF($A$2:$A$101,A88)&gt;1,"BLOCK_DUPLICATE_LEDGER_ID",IF(AN88&lt;&gt;"PASS_UNIQUE_PHYSICAL_TRIP","BLOCK_POSSIBLE_PHYSICAL_DUPLICATE",IF(AND(Z88="simulated",AA88="yes"),"PASS_SIMULATED_ONLY",IF(AND(Z88="actual",AA88&lt;&gt;"yes",W88="factor_verified",AB88&lt;&gt;"",AD88&lt;&gt;"",AE88&lt;&gt;""),"PASS_FORMAL_PRECHECK","REVIEW_DATA_STATUS")))))))))</x:f>
      </x:c>
      <x:c r="AK88" t="str">
        <x:f>IF(AJ88="","",IF(AJ88="BLOCK_MISSING_REQUIRED","缺少活动量/单位/因子/趟次关键字段/证据标识",IF(AJ88="BLOCK_NEGATIVE_ACTIVITY","活动量为负，禁止进入汇总",IF(AJ88="BLOCK_UNSUPPORTED_UNIT","活动单位不在允许单位白名单中",IF(AJ88="BLOCK_UNIT_MISMATCH","活动单位与因子单位不匹配",IF(AJ88="BLOCK_DUPLICATE_LEDGER_ID","台账行ID重复，需复核",IF(AJ88="BLOCK_POSSIBLE_PHYSICAL_DUPLICATE","疑似同一物理趟次/来源行重复，冻结汇总并复核",IF(AJ88="PASS_SIMULATED_ONLY","结构检查通过，但仅供 simulated 测试",IF(AJ88="PASS_FORMAL_PRECHECK","通过结构预检；仍需人工/负责人审批","数据状态需人工复核")))))))))</x:f>
      </x:c>
      <x:c r="AL88" t="str">
        <x:f>IF(A88="","",IF(OR(Z88="simulated",AA88="yes",W88&lt;&gt;"factor_verified",AJ88&lt;&gt;"PASS_FORMAL_PRECHECK",AB88="",AD88="",AE88=""),"NOT_FORMAL_USE","ELIGIBLE_FOR_REVIEW_NOT_APPROVED"))</x:f>
      </x:c>
      <x:c r="AM88" s="12" t="str">
        <x:f>IF(OR(F88="",G88="",J88="",COUNT(L88)=0,M88="",COUNT(N88)=0,COUNT(O88)=0),"",UPPER(F88&amp;"|"&amp;G88&amp;"|"&amp;J88&amp;"|"&amp;TEXT(N88,"0.000")&amp;"|"&amp;TEXT(O88,"0.000")&amp;"|"&amp;TEXT(L88,"0.000")&amp;"|"&amp;M88))</x:f>
      </x:c>
      <x:c r="AN88" s="12" t="str">
        <x:f>IF(A88="","",IF(OR(COUNTIF($C$2:$C$101,C88)&gt;1,AND(AE88&lt;&gt;"",COUNTIF($AE$2:$AE$101,AE88)&gt;1),AND(AM88&lt;&gt;"",COUNTIF($AM$2:$AM$101,AM88)&gt;1)),"BLOCK_POSSIBLE_PHYSICAL_DUPLICATE","PASS_UNIQUE_PHYSICAL_TRIP"))</x:f>
      </x:c>
      <x:c r="AO88" s="12"/>
      <x:c r="AP88" s="12" t="str">
        <x:f>IF(A88="","",IF(AND(Z88="actual",AA88&lt;&gt;"yes",W88="factor_verified",AJ88="PASS_FORMAL_PRECHECK",AN88="PASS_UNIQUE_PHYSICAL_TRIP",AO88="approved",AB88&lt;&gt;"",AD88&lt;&gt;"",AE88&lt;&gt;""),"FORMAL_APPROVED","EXCLUDED_NOT_FORMALLY_APPROVED"))</x:f>
      </x:c>
    </x:row>
    <x:row r="89">
      <x:c r="A89" s="14" t="str"/>
      <x:c r="B89" s="14" t="str"/>
      <x:c r="C89" s="14" t="str"/>
      <x:c r="D89" s="14" t="str"/>
      <x:c r="E89" s="14" t="str"/>
      <x:c r="F89" s="14" t="str"/>
      <x:c r="G89" s="14" t="str"/>
      <x:c r="H89" s="14" t="str">
        <x:f>IF(G89="","",LEFT(G89,7))</x:f>
      </x:c>
      <x:c r="I89" s="14" t="str">
        <x:f>IF(G89="","",LEFT(G89,4))</x:f>
      </x:c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  <x:c r="T89" s="14" t="str"/>
      <x:c r="U89" s="14" t="str"/>
      <x:c r="V89" s="14" t="str"/>
      <x:c r="W89" s="14" t="str"/>
      <x:c r="X89" s="14" t="str">
        <x:f>IF(OR(L89="",T89=""),"",L89*T89)</x:f>
      </x:c>
      <x:c r="Y89" s="14" t="str">
        <x:f>IF(X89="","",X89/1000)</x:f>
      </x:c>
      <x:c r="Z89" s="14" t="str"/>
      <x:c r="AA89" s="14" t="str"/>
      <x:c r="AB89" s="14" t="str"/>
      <x:c r="AC89" s="14" t="str"/>
      <x:c r="AD89" s="14" t="str"/>
      <x:c r="AE89" s="14" t="str"/>
      <x:c r="AF89" s="14" t="str"/>
      <x:c r="AG89" s="14" t="str"/>
      <x:c r="AH89" s="14" t="str"/>
      <x:c r="AI89" s="14" t="str"/>
      <x:c r="AJ89" t="str">
        <x:f>IF(A89="","",IF(OR(COUNT(L89)=0,M89="",COUNT(T89)=0,U89="",C89="",F89="",G89="",J89="",COUNT(N89)=0,COUNT(O89)=0,AB89="",AD89="",AE89=""),"BLOCK_MISSING_REQUIRED",IF(L89&lt;0,"BLOCK_NEGATIVE_ACTIVITY",IF(AND(M89&lt;&gt;"L",M89&lt;&gt;"kWh",M89&lt;&gt;"km",M89&lt;&gt;"t"),"BLOCK_UNSUPPORTED_UNIT",IF(OR(AND(M89="L",U89&lt;&gt;"kgCO2e/L"),AND(M89="kWh",U89&lt;&gt;"kgCO2e/kWh"),AND(M89="km",U89&lt;&gt;"kgCO2e/km"),AND(M89="t",U89&lt;&gt;"kgCO2e/t")),"BLOCK_UNIT_MISMATCH",IF(COUNTIF($A$2:$A$101,A89)&gt;1,"BLOCK_DUPLICATE_LEDGER_ID",IF(AN89&lt;&gt;"PASS_UNIQUE_PHYSICAL_TRIP","BLOCK_POSSIBLE_PHYSICAL_DUPLICATE",IF(AND(Z89="simulated",AA89="yes"),"PASS_SIMULATED_ONLY",IF(AND(Z89="actual",AA89&lt;&gt;"yes",W89="factor_verified",AB89&lt;&gt;"",AD89&lt;&gt;"",AE89&lt;&gt;""),"PASS_FORMAL_PRECHECK","REVIEW_DATA_STATUS")))))))))</x:f>
      </x:c>
      <x:c r="AK89" t="str">
        <x:f>IF(AJ89="","",IF(AJ89="BLOCK_MISSING_REQUIRED","缺少活动量/单位/因子/趟次关键字段/证据标识",IF(AJ89="BLOCK_NEGATIVE_ACTIVITY","活动量为负，禁止进入汇总",IF(AJ89="BLOCK_UNSUPPORTED_UNIT","活动单位不在允许单位白名单中",IF(AJ89="BLOCK_UNIT_MISMATCH","活动单位与因子单位不匹配",IF(AJ89="BLOCK_DUPLICATE_LEDGER_ID","台账行ID重复，需复核",IF(AJ89="BLOCK_POSSIBLE_PHYSICAL_DUPLICATE","疑似同一物理趟次/来源行重复，冻结汇总并复核",IF(AJ89="PASS_SIMULATED_ONLY","结构检查通过，但仅供 simulated 测试",IF(AJ89="PASS_FORMAL_PRECHECK","通过结构预检；仍需人工/负责人审批","数据状态需人工复核")))))))))</x:f>
      </x:c>
      <x:c r="AL89" t="str">
        <x:f>IF(A89="","",IF(OR(Z89="simulated",AA89="yes",W89&lt;&gt;"factor_verified",AJ89&lt;&gt;"PASS_FORMAL_PRECHECK",AB89="",AD89="",AE89=""),"NOT_FORMAL_USE","ELIGIBLE_FOR_REVIEW_NOT_APPROVED"))</x:f>
      </x:c>
      <x:c r="AM89" s="12" t="str">
        <x:f>IF(OR(F89="",G89="",J89="",COUNT(L89)=0,M89="",COUNT(N89)=0,COUNT(O89)=0),"",UPPER(F89&amp;"|"&amp;G89&amp;"|"&amp;J89&amp;"|"&amp;TEXT(N89,"0.000")&amp;"|"&amp;TEXT(O89,"0.000")&amp;"|"&amp;TEXT(L89,"0.000")&amp;"|"&amp;M89))</x:f>
      </x:c>
      <x:c r="AN89" s="12" t="str">
        <x:f>IF(A89="","",IF(OR(COUNTIF($C$2:$C$101,C89)&gt;1,AND(AE89&lt;&gt;"",COUNTIF($AE$2:$AE$101,AE89)&gt;1),AND(AM89&lt;&gt;"",COUNTIF($AM$2:$AM$101,AM89)&gt;1)),"BLOCK_POSSIBLE_PHYSICAL_DUPLICATE","PASS_UNIQUE_PHYSICAL_TRIP"))</x:f>
      </x:c>
      <x:c r="AO89" s="12"/>
      <x:c r="AP89" s="12" t="str">
        <x:f>IF(A89="","",IF(AND(Z89="actual",AA89&lt;&gt;"yes",W89="factor_verified",AJ89="PASS_FORMAL_PRECHECK",AN89="PASS_UNIQUE_PHYSICAL_TRIP",AO89="approved",AB89&lt;&gt;"",AD89&lt;&gt;"",AE89&lt;&gt;""),"FORMAL_APPROVED","EXCLUDED_NOT_FORMALLY_APPROVED"))</x:f>
      </x:c>
    </x:row>
    <x:row r="90">
      <x:c r="A90" s="14" t="str"/>
      <x:c r="B90" s="14" t="str"/>
      <x:c r="C90" s="14" t="str"/>
      <x:c r="D90" s="14" t="str"/>
      <x:c r="E90" s="14" t="str"/>
      <x:c r="F90" s="14" t="str"/>
      <x:c r="G90" s="14" t="str"/>
      <x:c r="H90" s="14" t="str">
        <x:f>IF(G90="","",LEFT(G90,7))</x:f>
      </x:c>
      <x:c r="I90" s="14" t="str">
        <x:f>IF(G90="","",LEFT(G90,4))</x:f>
      </x:c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  <x:c r="T90" s="14" t="str"/>
      <x:c r="U90" s="14" t="str"/>
      <x:c r="V90" s="14" t="str"/>
      <x:c r="W90" s="14" t="str"/>
      <x:c r="X90" s="14" t="str">
        <x:f>IF(OR(L90="",T90=""),"",L90*T90)</x:f>
      </x:c>
      <x:c r="Y90" s="14" t="str">
        <x:f>IF(X90="","",X90/1000)</x:f>
      </x:c>
      <x:c r="Z90" s="14" t="str"/>
      <x:c r="AA90" s="14" t="str"/>
      <x:c r="AB90" s="14" t="str"/>
      <x:c r="AC90" s="14" t="str"/>
      <x:c r="AD90" s="14" t="str"/>
      <x:c r="AE90" s="14" t="str"/>
      <x:c r="AF90" s="14" t="str"/>
      <x:c r="AG90" s="14" t="str"/>
      <x:c r="AH90" s="14" t="str"/>
      <x:c r="AI90" s="14" t="str"/>
      <x:c r="AJ90" t="str">
        <x:f>IF(A90="","",IF(OR(COUNT(L90)=0,M90="",COUNT(T90)=0,U90="",C90="",F90="",G90="",J90="",COUNT(N90)=0,COUNT(O90)=0,AB90="",AD90="",AE90=""),"BLOCK_MISSING_REQUIRED",IF(L90&lt;0,"BLOCK_NEGATIVE_ACTIVITY",IF(AND(M90&lt;&gt;"L",M90&lt;&gt;"kWh",M90&lt;&gt;"km",M90&lt;&gt;"t"),"BLOCK_UNSUPPORTED_UNIT",IF(OR(AND(M90="L",U90&lt;&gt;"kgCO2e/L"),AND(M90="kWh",U90&lt;&gt;"kgCO2e/kWh"),AND(M90="km",U90&lt;&gt;"kgCO2e/km"),AND(M90="t",U90&lt;&gt;"kgCO2e/t")),"BLOCK_UNIT_MISMATCH",IF(COUNTIF($A$2:$A$101,A90)&gt;1,"BLOCK_DUPLICATE_LEDGER_ID",IF(AN90&lt;&gt;"PASS_UNIQUE_PHYSICAL_TRIP","BLOCK_POSSIBLE_PHYSICAL_DUPLICATE",IF(AND(Z90="simulated",AA90="yes"),"PASS_SIMULATED_ONLY",IF(AND(Z90="actual",AA90&lt;&gt;"yes",W90="factor_verified",AB90&lt;&gt;"",AD90&lt;&gt;"",AE90&lt;&gt;""),"PASS_FORMAL_PRECHECK","REVIEW_DATA_STATUS")))))))))</x:f>
      </x:c>
      <x:c r="AK90" t="str">
        <x:f>IF(AJ90="","",IF(AJ90="BLOCK_MISSING_REQUIRED","缺少活动量/单位/因子/趟次关键字段/证据标识",IF(AJ90="BLOCK_NEGATIVE_ACTIVITY","活动量为负，禁止进入汇总",IF(AJ90="BLOCK_UNSUPPORTED_UNIT","活动单位不在允许单位白名单中",IF(AJ90="BLOCK_UNIT_MISMATCH","活动单位与因子单位不匹配",IF(AJ90="BLOCK_DUPLICATE_LEDGER_ID","台账行ID重复，需复核",IF(AJ90="BLOCK_POSSIBLE_PHYSICAL_DUPLICATE","疑似同一物理趟次/来源行重复，冻结汇总并复核",IF(AJ90="PASS_SIMULATED_ONLY","结构检查通过，但仅供 simulated 测试",IF(AJ90="PASS_FORMAL_PRECHECK","通过结构预检；仍需人工/负责人审批","数据状态需人工复核")))))))))</x:f>
      </x:c>
      <x:c r="AL90" t="str">
        <x:f>IF(A90="","",IF(OR(Z90="simulated",AA90="yes",W90&lt;&gt;"factor_verified",AJ90&lt;&gt;"PASS_FORMAL_PRECHECK",AB90="",AD90="",AE90=""),"NOT_FORMAL_USE","ELIGIBLE_FOR_REVIEW_NOT_APPROVED"))</x:f>
      </x:c>
      <x:c r="AM90" s="12" t="str">
        <x:f>IF(OR(F90="",G90="",J90="",COUNT(L90)=0,M90="",COUNT(N90)=0,COUNT(O90)=0),"",UPPER(F90&amp;"|"&amp;G90&amp;"|"&amp;J90&amp;"|"&amp;TEXT(N90,"0.000")&amp;"|"&amp;TEXT(O90,"0.000")&amp;"|"&amp;TEXT(L90,"0.000")&amp;"|"&amp;M90))</x:f>
      </x:c>
      <x:c r="AN90" s="12" t="str">
        <x:f>IF(A90="","",IF(OR(COUNTIF($C$2:$C$101,C90)&gt;1,AND(AE90&lt;&gt;"",COUNTIF($AE$2:$AE$101,AE90)&gt;1),AND(AM90&lt;&gt;"",COUNTIF($AM$2:$AM$101,AM90)&gt;1)),"BLOCK_POSSIBLE_PHYSICAL_DUPLICATE","PASS_UNIQUE_PHYSICAL_TRIP"))</x:f>
      </x:c>
      <x:c r="AO90" s="12"/>
      <x:c r="AP90" s="12" t="str">
        <x:f>IF(A90="","",IF(AND(Z90="actual",AA90&lt;&gt;"yes",W90="factor_verified",AJ90="PASS_FORMAL_PRECHECK",AN90="PASS_UNIQUE_PHYSICAL_TRIP",AO90="approved",AB90&lt;&gt;"",AD90&lt;&gt;"",AE90&lt;&gt;""),"FORMAL_APPROVED","EXCLUDED_NOT_FORMALLY_APPROVED"))</x:f>
      </x:c>
    </x:row>
    <x:row r="91">
      <x:c r="A91" s="14" t="str"/>
      <x:c r="B91" s="14" t="str"/>
      <x:c r="C91" s="14" t="str"/>
      <x:c r="D91" s="14" t="str"/>
      <x:c r="E91" s="14" t="str"/>
      <x:c r="F91" s="14" t="str"/>
      <x:c r="G91" s="14" t="str"/>
      <x:c r="H91" s="14" t="str">
        <x:f>IF(G91="","",LEFT(G91,7))</x:f>
      </x:c>
      <x:c r="I91" s="14" t="str">
        <x:f>IF(G91="","",LEFT(G91,4))</x:f>
      </x:c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  <x:c r="T91" s="14" t="str"/>
      <x:c r="U91" s="14" t="str"/>
      <x:c r="V91" s="14" t="str"/>
      <x:c r="W91" s="14" t="str"/>
      <x:c r="X91" s="14" t="str">
        <x:f>IF(OR(L91="",T91=""),"",L91*T91)</x:f>
      </x:c>
      <x:c r="Y91" s="14" t="str">
        <x:f>IF(X91="","",X91/1000)</x:f>
      </x:c>
      <x:c r="Z91" s="14" t="str"/>
      <x:c r="AA91" s="14" t="str"/>
      <x:c r="AB91" s="14" t="str"/>
      <x:c r="AC91" s="14" t="str"/>
      <x:c r="AD91" s="14" t="str"/>
      <x:c r="AE91" s="14" t="str"/>
      <x:c r="AF91" s="14" t="str"/>
      <x:c r="AG91" s="14" t="str"/>
      <x:c r="AH91" s="14" t="str"/>
      <x:c r="AI91" s="14" t="str"/>
      <x:c r="AJ91" t="str">
        <x:f>IF(A91="","",IF(OR(COUNT(L91)=0,M91="",COUNT(T91)=0,U91="",C91="",F91="",G91="",J91="",COUNT(N91)=0,COUNT(O91)=0,AB91="",AD91="",AE91=""),"BLOCK_MISSING_REQUIRED",IF(L91&lt;0,"BLOCK_NEGATIVE_ACTIVITY",IF(AND(M91&lt;&gt;"L",M91&lt;&gt;"kWh",M91&lt;&gt;"km",M91&lt;&gt;"t"),"BLOCK_UNSUPPORTED_UNIT",IF(OR(AND(M91="L",U91&lt;&gt;"kgCO2e/L"),AND(M91="kWh",U91&lt;&gt;"kgCO2e/kWh"),AND(M91="km",U91&lt;&gt;"kgCO2e/km"),AND(M91="t",U91&lt;&gt;"kgCO2e/t")),"BLOCK_UNIT_MISMATCH",IF(COUNTIF($A$2:$A$101,A91)&gt;1,"BLOCK_DUPLICATE_LEDGER_ID",IF(AN91&lt;&gt;"PASS_UNIQUE_PHYSICAL_TRIP","BLOCK_POSSIBLE_PHYSICAL_DUPLICATE",IF(AND(Z91="simulated",AA91="yes"),"PASS_SIMULATED_ONLY",IF(AND(Z91="actual",AA91&lt;&gt;"yes",W91="factor_verified",AB91&lt;&gt;"",AD91&lt;&gt;"",AE91&lt;&gt;""),"PASS_FORMAL_PRECHECK","REVIEW_DATA_STATUS")))))))))</x:f>
      </x:c>
      <x:c r="AK91" t="str">
        <x:f>IF(AJ91="","",IF(AJ91="BLOCK_MISSING_REQUIRED","缺少活动量/单位/因子/趟次关键字段/证据标识",IF(AJ91="BLOCK_NEGATIVE_ACTIVITY","活动量为负，禁止进入汇总",IF(AJ91="BLOCK_UNSUPPORTED_UNIT","活动单位不在允许单位白名单中",IF(AJ91="BLOCK_UNIT_MISMATCH","活动单位与因子单位不匹配",IF(AJ91="BLOCK_DUPLICATE_LEDGER_ID","台账行ID重复，需复核",IF(AJ91="BLOCK_POSSIBLE_PHYSICAL_DUPLICATE","疑似同一物理趟次/来源行重复，冻结汇总并复核",IF(AJ91="PASS_SIMULATED_ONLY","结构检查通过，但仅供 simulated 测试",IF(AJ91="PASS_FORMAL_PRECHECK","通过结构预检；仍需人工/负责人审批","数据状态需人工复核")))))))))</x:f>
      </x:c>
      <x:c r="AL91" t="str">
        <x:f>IF(A91="","",IF(OR(Z91="simulated",AA91="yes",W91&lt;&gt;"factor_verified",AJ91&lt;&gt;"PASS_FORMAL_PRECHECK",AB91="",AD91="",AE91=""),"NOT_FORMAL_USE","ELIGIBLE_FOR_REVIEW_NOT_APPROVED"))</x:f>
      </x:c>
      <x:c r="AM91" s="12" t="str">
        <x:f>IF(OR(F91="",G91="",J91="",COUNT(L91)=0,M91="",COUNT(N91)=0,COUNT(O91)=0),"",UPPER(F91&amp;"|"&amp;G91&amp;"|"&amp;J91&amp;"|"&amp;TEXT(N91,"0.000")&amp;"|"&amp;TEXT(O91,"0.000")&amp;"|"&amp;TEXT(L91,"0.000")&amp;"|"&amp;M91))</x:f>
      </x:c>
      <x:c r="AN91" s="12" t="str">
        <x:f>IF(A91="","",IF(OR(COUNTIF($C$2:$C$101,C91)&gt;1,AND(AE91&lt;&gt;"",COUNTIF($AE$2:$AE$101,AE91)&gt;1),AND(AM91&lt;&gt;"",COUNTIF($AM$2:$AM$101,AM91)&gt;1)),"BLOCK_POSSIBLE_PHYSICAL_DUPLICATE","PASS_UNIQUE_PHYSICAL_TRIP"))</x:f>
      </x:c>
      <x:c r="AO91" s="12"/>
      <x:c r="AP91" s="12" t="str">
        <x:f>IF(A91="","",IF(AND(Z91="actual",AA91&lt;&gt;"yes",W91="factor_verified",AJ91="PASS_FORMAL_PRECHECK",AN91="PASS_UNIQUE_PHYSICAL_TRIP",AO91="approved",AB91&lt;&gt;"",AD91&lt;&gt;"",AE91&lt;&gt;""),"FORMAL_APPROVED","EXCLUDED_NOT_FORMALLY_APPROVED"))</x:f>
      </x:c>
    </x:row>
    <x:row r="92">
      <x:c r="A92" s="14" t="str"/>
      <x:c r="B92" s="14" t="str"/>
      <x:c r="C92" s="14" t="str"/>
      <x:c r="D92" s="14" t="str"/>
      <x:c r="E92" s="14" t="str"/>
      <x:c r="F92" s="14" t="str"/>
      <x:c r="G92" s="14" t="str"/>
      <x:c r="H92" s="14" t="str">
        <x:f>IF(G92="","",LEFT(G92,7))</x:f>
      </x:c>
      <x:c r="I92" s="14" t="str">
        <x:f>IF(G92="","",LEFT(G92,4))</x:f>
      </x:c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str"/>
      <x:c r="T92" s="14" t="str"/>
      <x:c r="U92" s="14" t="str"/>
      <x:c r="V92" s="14" t="str"/>
      <x:c r="W92" s="14" t="str"/>
      <x:c r="X92" s="14" t="str">
        <x:f>IF(OR(L92="",T92=""),"",L92*T92)</x:f>
      </x:c>
      <x:c r="Y92" s="14" t="str">
        <x:f>IF(X92="","",X92/1000)</x:f>
      </x:c>
      <x:c r="Z92" s="14" t="str"/>
      <x:c r="AA92" s="14" t="str"/>
      <x:c r="AB92" s="14" t="str"/>
      <x:c r="AC92" s="14" t="str"/>
      <x:c r="AD92" s="14" t="str"/>
      <x:c r="AE92" s="14" t="str"/>
      <x:c r="AF92" s="14" t="str"/>
      <x:c r="AG92" s="14" t="str"/>
      <x:c r="AH92" s="14" t="str"/>
      <x:c r="AI92" s="14" t="str"/>
      <x:c r="AJ92" t="str">
        <x:f>IF(A92="","",IF(OR(COUNT(L92)=0,M92="",COUNT(T92)=0,U92="",C92="",F92="",G92="",J92="",COUNT(N92)=0,COUNT(O92)=0,AB92="",AD92="",AE92=""),"BLOCK_MISSING_REQUIRED",IF(L92&lt;0,"BLOCK_NEGATIVE_ACTIVITY",IF(AND(M92&lt;&gt;"L",M92&lt;&gt;"kWh",M92&lt;&gt;"km",M92&lt;&gt;"t"),"BLOCK_UNSUPPORTED_UNIT",IF(OR(AND(M92="L",U92&lt;&gt;"kgCO2e/L"),AND(M92="kWh",U92&lt;&gt;"kgCO2e/kWh"),AND(M92="km",U92&lt;&gt;"kgCO2e/km"),AND(M92="t",U92&lt;&gt;"kgCO2e/t")),"BLOCK_UNIT_MISMATCH",IF(COUNTIF($A$2:$A$101,A92)&gt;1,"BLOCK_DUPLICATE_LEDGER_ID",IF(AN92&lt;&gt;"PASS_UNIQUE_PHYSICAL_TRIP","BLOCK_POSSIBLE_PHYSICAL_DUPLICATE",IF(AND(Z92="simulated",AA92="yes"),"PASS_SIMULATED_ONLY",IF(AND(Z92="actual",AA92&lt;&gt;"yes",W92="factor_verified",AB92&lt;&gt;"",AD92&lt;&gt;"",AE92&lt;&gt;""),"PASS_FORMAL_PRECHECK","REVIEW_DATA_STATUS")))))))))</x:f>
      </x:c>
      <x:c r="AK92" t="str">
        <x:f>IF(AJ92="","",IF(AJ92="BLOCK_MISSING_REQUIRED","缺少活动量/单位/因子/趟次关键字段/证据标识",IF(AJ92="BLOCK_NEGATIVE_ACTIVITY","活动量为负，禁止进入汇总",IF(AJ92="BLOCK_UNSUPPORTED_UNIT","活动单位不在允许单位白名单中",IF(AJ92="BLOCK_UNIT_MISMATCH","活动单位与因子单位不匹配",IF(AJ92="BLOCK_DUPLICATE_LEDGER_ID","台账行ID重复，需复核",IF(AJ92="BLOCK_POSSIBLE_PHYSICAL_DUPLICATE","疑似同一物理趟次/来源行重复，冻结汇总并复核",IF(AJ92="PASS_SIMULATED_ONLY","结构检查通过，但仅供 simulated 测试",IF(AJ92="PASS_FORMAL_PRECHECK","通过结构预检；仍需人工/负责人审批","数据状态需人工复核")))))))))</x:f>
      </x:c>
      <x:c r="AL92" t="str">
        <x:f>IF(A92="","",IF(OR(Z92="simulated",AA92="yes",W92&lt;&gt;"factor_verified",AJ92&lt;&gt;"PASS_FORMAL_PRECHECK",AB92="",AD92="",AE92=""),"NOT_FORMAL_USE","ELIGIBLE_FOR_REVIEW_NOT_APPROVED"))</x:f>
      </x:c>
      <x:c r="AM92" s="12" t="str">
        <x:f>IF(OR(F92="",G92="",J92="",COUNT(L92)=0,M92="",COUNT(N92)=0,COUNT(O92)=0),"",UPPER(F92&amp;"|"&amp;G92&amp;"|"&amp;J92&amp;"|"&amp;TEXT(N92,"0.000")&amp;"|"&amp;TEXT(O92,"0.000")&amp;"|"&amp;TEXT(L92,"0.000")&amp;"|"&amp;M92))</x:f>
      </x:c>
      <x:c r="AN92" s="12" t="str">
        <x:f>IF(A92="","",IF(OR(COUNTIF($C$2:$C$101,C92)&gt;1,AND(AE92&lt;&gt;"",COUNTIF($AE$2:$AE$101,AE92)&gt;1),AND(AM92&lt;&gt;"",COUNTIF($AM$2:$AM$101,AM92)&gt;1)),"BLOCK_POSSIBLE_PHYSICAL_DUPLICATE","PASS_UNIQUE_PHYSICAL_TRIP"))</x:f>
      </x:c>
      <x:c r="AO92" s="12"/>
      <x:c r="AP92" s="12" t="str">
        <x:f>IF(A92="","",IF(AND(Z92="actual",AA92&lt;&gt;"yes",W92="factor_verified",AJ92="PASS_FORMAL_PRECHECK",AN92="PASS_UNIQUE_PHYSICAL_TRIP",AO92="approved",AB92&lt;&gt;"",AD92&lt;&gt;"",AE92&lt;&gt;""),"FORMAL_APPROVED","EXCLUDED_NOT_FORMALLY_APPROVED"))</x:f>
      </x:c>
    </x:row>
    <x:row r="93">
      <x:c r="A93" s="14" t="str"/>
      <x:c r="B93" s="14" t="str"/>
      <x:c r="C93" s="14" t="str"/>
      <x:c r="D93" s="14" t="str"/>
      <x:c r="E93" s="14" t="str"/>
      <x:c r="F93" s="14" t="str"/>
      <x:c r="G93" s="14" t="str"/>
      <x:c r="H93" s="14" t="str">
        <x:f>IF(G93="","",LEFT(G93,7))</x:f>
      </x:c>
      <x:c r="I93" s="14" t="str">
        <x:f>IF(G93="","",LEFT(G93,4))</x:f>
      </x:c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  <x:c r="T93" s="14" t="str"/>
      <x:c r="U93" s="14" t="str"/>
      <x:c r="V93" s="14" t="str"/>
      <x:c r="W93" s="14" t="str"/>
      <x:c r="X93" s="14" t="str">
        <x:f>IF(OR(L93="",T93=""),"",L93*T93)</x:f>
      </x:c>
      <x:c r="Y93" s="14" t="str">
        <x:f>IF(X93="","",X93/1000)</x:f>
      </x:c>
      <x:c r="Z93" s="14" t="str"/>
      <x:c r="AA93" s="14" t="str"/>
      <x:c r="AB93" s="14" t="str"/>
      <x:c r="AC93" s="14" t="str"/>
      <x:c r="AD93" s="14" t="str"/>
      <x:c r="AE93" s="14" t="str"/>
      <x:c r="AF93" s="14" t="str"/>
      <x:c r="AG93" s="14" t="str"/>
      <x:c r="AH93" s="14" t="str"/>
      <x:c r="AI93" s="14" t="str"/>
      <x:c r="AJ93" t="str">
        <x:f>IF(A93="","",IF(OR(COUNT(L93)=0,M93="",COUNT(T93)=0,U93="",C93="",F93="",G93="",J93="",COUNT(N93)=0,COUNT(O93)=0,AB93="",AD93="",AE93=""),"BLOCK_MISSING_REQUIRED",IF(L93&lt;0,"BLOCK_NEGATIVE_ACTIVITY",IF(AND(M93&lt;&gt;"L",M93&lt;&gt;"kWh",M93&lt;&gt;"km",M93&lt;&gt;"t"),"BLOCK_UNSUPPORTED_UNIT",IF(OR(AND(M93="L",U93&lt;&gt;"kgCO2e/L"),AND(M93="kWh",U93&lt;&gt;"kgCO2e/kWh"),AND(M93="km",U93&lt;&gt;"kgCO2e/km"),AND(M93="t",U93&lt;&gt;"kgCO2e/t")),"BLOCK_UNIT_MISMATCH",IF(COUNTIF($A$2:$A$101,A93)&gt;1,"BLOCK_DUPLICATE_LEDGER_ID",IF(AN93&lt;&gt;"PASS_UNIQUE_PHYSICAL_TRIP","BLOCK_POSSIBLE_PHYSICAL_DUPLICATE",IF(AND(Z93="simulated",AA93="yes"),"PASS_SIMULATED_ONLY",IF(AND(Z93="actual",AA93&lt;&gt;"yes",W93="factor_verified",AB93&lt;&gt;"",AD93&lt;&gt;"",AE93&lt;&gt;""),"PASS_FORMAL_PRECHECK","REVIEW_DATA_STATUS")))))))))</x:f>
      </x:c>
      <x:c r="AK93" t="str">
        <x:f>IF(AJ93="","",IF(AJ93="BLOCK_MISSING_REQUIRED","缺少活动量/单位/因子/趟次关键字段/证据标识",IF(AJ93="BLOCK_NEGATIVE_ACTIVITY","活动量为负，禁止进入汇总",IF(AJ93="BLOCK_UNSUPPORTED_UNIT","活动单位不在允许单位白名单中",IF(AJ93="BLOCK_UNIT_MISMATCH","活动单位与因子单位不匹配",IF(AJ93="BLOCK_DUPLICATE_LEDGER_ID","台账行ID重复，需复核",IF(AJ93="BLOCK_POSSIBLE_PHYSICAL_DUPLICATE","疑似同一物理趟次/来源行重复，冻结汇总并复核",IF(AJ93="PASS_SIMULATED_ONLY","结构检查通过，但仅供 simulated 测试",IF(AJ93="PASS_FORMAL_PRECHECK","通过结构预检；仍需人工/负责人审批","数据状态需人工复核")))))))))</x:f>
      </x:c>
      <x:c r="AL93" t="str">
        <x:f>IF(A93="","",IF(OR(Z93="simulated",AA93="yes",W93&lt;&gt;"factor_verified",AJ93&lt;&gt;"PASS_FORMAL_PRECHECK",AB93="",AD93="",AE93=""),"NOT_FORMAL_USE","ELIGIBLE_FOR_REVIEW_NOT_APPROVED"))</x:f>
      </x:c>
      <x:c r="AM93" s="12" t="str">
        <x:f>IF(OR(F93="",G93="",J93="",COUNT(L93)=0,M93="",COUNT(N93)=0,COUNT(O93)=0),"",UPPER(F93&amp;"|"&amp;G93&amp;"|"&amp;J93&amp;"|"&amp;TEXT(N93,"0.000")&amp;"|"&amp;TEXT(O93,"0.000")&amp;"|"&amp;TEXT(L93,"0.000")&amp;"|"&amp;M93))</x:f>
      </x:c>
      <x:c r="AN93" s="12" t="str">
        <x:f>IF(A93="","",IF(OR(COUNTIF($C$2:$C$101,C93)&gt;1,AND(AE93&lt;&gt;"",COUNTIF($AE$2:$AE$101,AE93)&gt;1),AND(AM93&lt;&gt;"",COUNTIF($AM$2:$AM$101,AM93)&gt;1)),"BLOCK_POSSIBLE_PHYSICAL_DUPLICATE","PASS_UNIQUE_PHYSICAL_TRIP"))</x:f>
      </x:c>
      <x:c r="AO93" s="12"/>
      <x:c r="AP93" s="12" t="str">
        <x:f>IF(A93="","",IF(AND(Z93="actual",AA93&lt;&gt;"yes",W93="factor_verified",AJ93="PASS_FORMAL_PRECHECK",AN93="PASS_UNIQUE_PHYSICAL_TRIP",AO93="approved",AB93&lt;&gt;"",AD93&lt;&gt;"",AE93&lt;&gt;""),"FORMAL_APPROVED","EXCLUDED_NOT_FORMALLY_APPROVED"))</x:f>
      </x:c>
    </x:row>
    <x:row r="94">
      <x:c r="A94" s="14" t="str"/>
      <x:c r="B94" s="14" t="str"/>
      <x:c r="C94" s="14" t="str"/>
      <x:c r="D94" s="14" t="str"/>
      <x:c r="E94" s="14" t="str"/>
      <x:c r="F94" s="14" t="str"/>
      <x:c r="G94" s="14" t="str"/>
      <x:c r="H94" s="14" t="str">
        <x:f>IF(G94="","",LEFT(G94,7))</x:f>
      </x:c>
      <x:c r="I94" s="14" t="str">
        <x:f>IF(G94="","",LEFT(G94,4))</x:f>
      </x:c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  <x:c r="T94" s="14" t="str"/>
      <x:c r="U94" s="14" t="str"/>
      <x:c r="V94" s="14" t="str"/>
      <x:c r="W94" s="14" t="str"/>
      <x:c r="X94" s="14" t="str">
        <x:f>IF(OR(L94="",T94=""),"",L94*T94)</x:f>
      </x:c>
      <x:c r="Y94" s="14" t="str">
        <x:f>IF(X94="","",X94/1000)</x:f>
      </x:c>
      <x:c r="Z94" s="14" t="str"/>
      <x:c r="AA94" s="14" t="str"/>
      <x:c r="AB94" s="14" t="str"/>
      <x:c r="AC94" s="14" t="str"/>
      <x:c r="AD94" s="14" t="str"/>
      <x:c r="AE94" s="14" t="str"/>
      <x:c r="AF94" s="14" t="str"/>
      <x:c r="AG94" s="14" t="str"/>
      <x:c r="AH94" s="14" t="str"/>
      <x:c r="AI94" s="14" t="str"/>
      <x:c r="AJ94" t="str">
        <x:f>IF(A94="","",IF(OR(COUNT(L94)=0,M94="",COUNT(T94)=0,U94="",C94="",F94="",G94="",J94="",COUNT(N94)=0,COUNT(O94)=0,AB94="",AD94="",AE94=""),"BLOCK_MISSING_REQUIRED",IF(L94&lt;0,"BLOCK_NEGATIVE_ACTIVITY",IF(AND(M94&lt;&gt;"L",M94&lt;&gt;"kWh",M94&lt;&gt;"km",M94&lt;&gt;"t"),"BLOCK_UNSUPPORTED_UNIT",IF(OR(AND(M94="L",U94&lt;&gt;"kgCO2e/L"),AND(M94="kWh",U94&lt;&gt;"kgCO2e/kWh"),AND(M94="km",U94&lt;&gt;"kgCO2e/km"),AND(M94="t",U94&lt;&gt;"kgCO2e/t")),"BLOCK_UNIT_MISMATCH",IF(COUNTIF($A$2:$A$101,A94)&gt;1,"BLOCK_DUPLICATE_LEDGER_ID",IF(AN94&lt;&gt;"PASS_UNIQUE_PHYSICAL_TRIP","BLOCK_POSSIBLE_PHYSICAL_DUPLICATE",IF(AND(Z94="simulated",AA94="yes"),"PASS_SIMULATED_ONLY",IF(AND(Z94="actual",AA94&lt;&gt;"yes",W94="factor_verified",AB94&lt;&gt;"",AD94&lt;&gt;"",AE94&lt;&gt;""),"PASS_FORMAL_PRECHECK","REVIEW_DATA_STATUS")))))))))</x:f>
      </x:c>
      <x:c r="AK94" t="str">
        <x:f>IF(AJ94="","",IF(AJ94="BLOCK_MISSING_REQUIRED","缺少活动量/单位/因子/趟次关键字段/证据标识",IF(AJ94="BLOCK_NEGATIVE_ACTIVITY","活动量为负，禁止进入汇总",IF(AJ94="BLOCK_UNSUPPORTED_UNIT","活动单位不在允许单位白名单中",IF(AJ94="BLOCK_UNIT_MISMATCH","活动单位与因子单位不匹配",IF(AJ94="BLOCK_DUPLICATE_LEDGER_ID","台账行ID重复，需复核",IF(AJ94="BLOCK_POSSIBLE_PHYSICAL_DUPLICATE","疑似同一物理趟次/来源行重复，冻结汇总并复核",IF(AJ94="PASS_SIMULATED_ONLY","结构检查通过，但仅供 simulated 测试",IF(AJ94="PASS_FORMAL_PRECHECK","通过结构预检；仍需人工/负责人审批","数据状态需人工复核")))))))))</x:f>
      </x:c>
      <x:c r="AL94" t="str">
        <x:f>IF(A94="","",IF(OR(Z94="simulated",AA94="yes",W94&lt;&gt;"factor_verified",AJ94&lt;&gt;"PASS_FORMAL_PRECHECK",AB94="",AD94="",AE94=""),"NOT_FORMAL_USE","ELIGIBLE_FOR_REVIEW_NOT_APPROVED"))</x:f>
      </x:c>
      <x:c r="AM94" s="12" t="str">
        <x:f>IF(OR(F94="",G94="",J94="",COUNT(L94)=0,M94="",COUNT(N94)=0,COUNT(O94)=0),"",UPPER(F94&amp;"|"&amp;G94&amp;"|"&amp;J94&amp;"|"&amp;TEXT(N94,"0.000")&amp;"|"&amp;TEXT(O94,"0.000")&amp;"|"&amp;TEXT(L94,"0.000")&amp;"|"&amp;M94))</x:f>
      </x:c>
      <x:c r="AN94" s="12" t="str">
        <x:f>IF(A94="","",IF(OR(COUNTIF($C$2:$C$101,C94)&gt;1,AND(AE94&lt;&gt;"",COUNTIF($AE$2:$AE$101,AE94)&gt;1),AND(AM94&lt;&gt;"",COUNTIF($AM$2:$AM$101,AM94)&gt;1)),"BLOCK_POSSIBLE_PHYSICAL_DUPLICATE","PASS_UNIQUE_PHYSICAL_TRIP"))</x:f>
      </x:c>
      <x:c r="AO94" s="12"/>
      <x:c r="AP94" s="12" t="str">
        <x:f>IF(A94="","",IF(AND(Z94="actual",AA94&lt;&gt;"yes",W94="factor_verified",AJ94="PASS_FORMAL_PRECHECK",AN94="PASS_UNIQUE_PHYSICAL_TRIP",AO94="approved",AB94&lt;&gt;"",AD94&lt;&gt;"",AE94&lt;&gt;""),"FORMAL_APPROVED","EXCLUDED_NOT_FORMALLY_APPROVED"))</x:f>
      </x:c>
    </x:row>
    <x:row r="95">
      <x:c r="A95" s="14" t="str"/>
      <x:c r="B95" s="14" t="str"/>
      <x:c r="C95" s="14" t="str"/>
      <x:c r="D95" s="14" t="str"/>
      <x:c r="E95" s="14" t="str"/>
      <x:c r="F95" s="14" t="str"/>
      <x:c r="G95" s="14" t="str"/>
      <x:c r="H95" s="14" t="str">
        <x:f>IF(G95="","",LEFT(G95,7))</x:f>
      </x:c>
      <x:c r="I95" s="14" t="str">
        <x:f>IF(G95="","",LEFT(G95,4))</x:f>
      </x:c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  <x:c r="T95" s="14" t="str"/>
      <x:c r="U95" s="14" t="str"/>
      <x:c r="V95" s="14" t="str"/>
      <x:c r="W95" s="14" t="str"/>
      <x:c r="X95" s="14" t="str">
        <x:f>IF(OR(L95="",T95=""),"",L95*T95)</x:f>
      </x:c>
      <x:c r="Y95" s="14" t="str">
        <x:f>IF(X95="","",X95/1000)</x:f>
      </x:c>
      <x:c r="Z95" s="14" t="str"/>
      <x:c r="AA95" s="14" t="str"/>
      <x:c r="AB95" s="14" t="str"/>
      <x:c r="AC95" s="14" t="str"/>
      <x:c r="AD95" s="14" t="str"/>
      <x:c r="AE95" s="14" t="str"/>
      <x:c r="AF95" s="14" t="str"/>
      <x:c r="AG95" s="14" t="str"/>
      <x:c r="AH95" s="14" t="str"/>
      <x:c r="AI95" s="14" t="str"/>
      <x:c r="AJ95" t="str">
        <x:f>IF(A95="","",IF(OR(COUNT(L95)=0,M95="",COUNT(T95)=0,U95="",C95="",F95="",G95="",J95="",COUNT(N95)=0,COUNT(O95)=0,AB95="",AD95="",AE95=""),"BLOCK_MISSING_REQUIRED",IF(L95&lt;0,"BLOCK_NEGATIVE_ACTIVITY",IF(AND(M95&lt;&gt;"L",M95&lt;&gt;"kWh",M95&lt;&gt;"km",M95&lt;&gt;"t"),"BLOCK_UNSUPPORTED_UNIT",IF(OR(AND(M95="L",U95&lt;&gt;"kgCO2e/L"),AND(M95="kWh",U95&lt;&gt;"kgCO2e/kWh"),AND(M95="km",U95&lt;&gt;"kgCO2e/km"),AND(M95="t",U95&lt;&gt;"kgCO2e/t")),"BLOCK_UNIT_MISMATCH",IF(COUNTIF($A$2:$A$101,A95)&gt;1,"BLOCK_DUPLICATE_LEDGER_ID",IF(AN95&lt;&gt;"PASS_UNIQUE_PHYSICAL_TRIP","BLOCK_POSSIBLE_PHYSICAL_DUPLICATE",IF(AND(Z95="simulated",AA95="yes"),"PASS_SIMULATED_ONLY",IF(AND(Z95="actual",AA95&lt;&gt;"yes",W95="factor_verified",AB95&lt;&gt;"",AD95&lt;&gt;"",AE95&lt;&gt;""),"PASS_FORMAL_PRECHECK","REVIEW_DATA_STATUS")))))))))</x:f>
      </x:c>
      <x:c r="AK95" t="str">
        <x:f>IF(AJ95="","",IF(AJ95="BLOCK_MISSING_REQUIRED","缺少活动量/单位/因子/趟次关键字段/证据标识",IF(AJ95="BLOCK_NEGATIVE_ACTIVITY","活动量为负，禁止进入汇总",IF(AJ95="BLOCK_UNSUPPORTED_UNIT","活动单位不在允许单位白名单中",IF(AJ95="BLOCK_UNIT_MISMATCH","活动单位与因子单位不匹配",IF(AJ95="BLOCK_DUPLICATE_LEDGER_ID","台账行ID重复，需复核",IF(AJ95="BLOCK_POSSIBLE_PHYSICAL_DUPLICATE","疑似同一物理趟次/来源行重复，冻结汇总并复核",IF(AJ95="PASS_SIMULATED_ONLY","结构检查通过，但仅供 simulated 测试",IF(AJ95="PASS_FORMAL_PRECHECK","通过结构预检；仍需人工/负责人审批","数据状态需人工复核")))))))))</x:f>
      </x:c>
      <x:c r="AL95" t="str">
        <x:f>IF(A95="","",IF(OR(Z95="simulated",AA95="yes",W95&lt;&gt;"factor_verified",AJ95&lt;&gt;"PASS_FORMAL_PRECHECK",AB95="",AD95="",AE95=""),"NOT_FORMAL_USE","ELIGIBLE_FOR_REVIEW_NOT_APPROVED"))</x:f>
      </x:c>
      <x:c r="AM95" s="12" t="str">
        <x:f>IF(OR(F95="",G95="",J95="",COUNT(L95)=0,M95="",COUNT(N95)=0,COUNT(O95)=0),"",UPPER(F95&amp;"|"&amp;G95&amp;"|"&amp;J95&amp;"|"&amp;TEXT(N95,"0.000")&amp;"|"&amp;TEXT(O95,"0.000")&amp;"|"&amp;TEXT(L95,"0.000")&amp;"|"&amp;M95))</x:f>
      </x:c>
      <x:c r="AN95" s="12" t="str">
        <x:f>IF(A95="","",IF(OR(COUNTIF($C$2:$C$101,C95)&gt;1,AND(AE95&lt;&gt;"",COUNTIF($AE$2:$AE$101,AE95)&gt;1),AND(AM95&lt;&gt;"",COUNTIF($AM$2:$AM$101,AM95)&gt;1)),"BLOCK_POSSIBLE_PHYSICAL_DUPLICATE","PASS_UNIQUE_PHYSICAL_TRIP"))</x:f>
      </x:c>
      <x:c r="AO95" s="12"/>
      <x:c r="AP95" s="12" t="str">
        <x:f>IF(A95="","",IF(AND(Z95="actual",AA95&lt;&gt;"yes",W95="factor_verified",AJ95="PASS_FORMAL_PRECHECK",AN95="PASS_UNIQUE_PHYSICAL_TRIP",AO95="approved",AB95&lt;&gt;"",AD95&lt;&gt;"",AE95&lt;&gt;""),"FORMAL_APPROVED","EXCLUDED_NOT_FORMALLY_APPROVED"))</x:f>
      </x:c>
    </x:row>
    <x:row r="96">
      <x:c r="A96" s="14" t="str"/>
      <x:c r="B96" s="14" t="str"/>
      <x:c r="C96" s="14" t="str"/>
      <x:c r="D96" s="14" t="str"/>
      <x:c r="E96" s="14" t="str"/>
      <x:c r="F96" s="14" t="str"/>
      <x:c r="G96" s="14" t="str"/>
      <x:c r="H96" s="14" t="str">
        <x:f>IF(G96="","",LEFT(G96,7))</x:f>
      </x:c>
      <x:c r="I96" s="14" t="str">
        <x:f>IF(G96="","",LEFT(G96,4))</x:f>
      </x:c>
      <x:c r="J96" s="14" t="str"/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/>
      <x:c r="S96" s="14" t="str"/>
      <x:c r="T96" s="14" t="str"/>
      <x:c r="U96" s="14" t="str"/>
      <x:c r="V96" s="14" t="str"/>
      <x:c r="W96" s="14" t="str"/>
      <x:c r="X96" s="14" t="str">
        <x:f>IF(OR(L96="",T96=""),"",L96*T96)</x:f>
      </x:c>
      <x:c r="Y96" s="14" t="str">
        <x:f>IF(X96="","",X96/1000)</x:f>
      </x:c>
      <x:c r="Z96" s="14" t="str"/>
      <x:c r="AA96" s="14" t="str"/>
      <x:c r="AB96" s="14" t="str"/>
      <x:c r="AC96" s="14" t="str"/>
      <x:c r="AD96" s="14" t="str"/>
      <x:c r="AE96" s="14" t="str"/>
      <x:c r="AF96" s="14" t="str"/>
      <x:c r="AG96" s="14" t="str"/>
      <x:c r="AH96" s="14" t="str"/>
      <x:c r="AI96" s="14" t="str"/>
      <x:c r="AJ96" t="str">
        <x:f>IF(A96="","",IF(OR(COUNT(L96)=0,M96="",COUNT(T96)=0,U96="",C96="",F96="",G96="",J96="",COUNT(N96)=0,COUNT(O96)=0,AB96="",AD96="",AE96=""),"BLOCK_MISSING_REQUIRED",IF(L96&lt;0,"BLOCK_NEGATIVE_ACTIVITY",IF(AND(M96&lt;&gt;"L",M96&lt;&gt;"kWh",M96&lt;&gt;"km",M96&lt;&gt;"t"),"BLOCK_UNSUPPORTED_UNIT",IF(OR(AND(M96="L",U96&lt;&gt;"kgCO2e/L"),AND(M96="kWh",U96&lt;&gt;"kgCO2e/kWh"),AND(M96="km",U96&lt;&gt;"kgCO2e/km"),AND(M96="t",U96&lt;&gt;"kgCO2e/t")),"BLOCK_UNIT_MISMATCH",IF(COUNTIF($A$2:$A$101,A96)&gt;1,"BLOCK_DUPLICATE_LEDGER_ID",IF(AN96&lt;&gt;"PASS_UNIQUE_PHYSICAL_TRIP","BLOCK_POSSIBLE_PHYSICAL_DUPLICATE",IF(AND(Z96="simulated",AA96="yes"),"PASS_SIMULATED_ONLY",IF(AND(Z96="actual",AA96&lt;&gt;"yes",W96="factor_verified",AB96&lt;&gt;"",AD96&lt;&gt;"",AE96&lt;&gt;""),"PASS_FORMAL_PRECHECK","REVIEW_DATA_STATUS")))))))))</x:f>
      </x:c>
      <x:c r="AK96" t="str">
        <x:f>IF(AJ96="","",IF(AJ96="BLOCK_MISSING_REQUIRED","缺少活动量/单位/因子/趟次关键字段/证据标识",IF(AJ96="BLOCK_NEGATIVE_ACTIVITY","活动量为负，禁止进入汇总",IF(AJ96="BLOCK_UNSUPPORTED_UNIT","活动单位不在允许单位白名单中",IF(AJ96="BLOCK_UNIT_MISMATCH","活动单位与因子单位不匹配",IF(AJ96="BLOCK_DUPLICATE_LEDGER_ID","台账行ID重复，需复核",IF(AJ96="BLOCK_POSSIBLE_PHYSICAL_DUPLICATE","疑似同一物理趟次/来源行重复，冻结汇总并复核",IF(AJ96="PASS_SIMULATED_ONLY","结构检查通过，但仅供 simulated 测试",IF(AJ96="PASS_FORMAL_PRECHECK","通过结构预检；仍需人工/负责人审批","数据状态需人工复核")))))))))</x:f>
      </x:c>
      <x:c r="AL96" t="str">
        <x:f>IF(A96="","",IF(OR(Z96="simulated",AA96="yes",W96&lt;&gt;"factor_verified",AJ96&lt;&gt;"PASS_FORMAL_PRECHECK",AB96="",AD96="",AE96=""),"NOT_FORMAL_USE","ELIGIBLE_FOR_REVIEW_NOT_APPROVED"))</x:f>
      </x:c>
      <x:c r="AM96" s="12" t="str">
        <x:f>IF(OR(F96="",G96="",J96="",COUNT(L96)=0,M96="",COUNT(N96)=0,COUNT(O96)=0),"",UPPER(F96&amp;"|"&amp;G96&amp;"|"&amp;J96&amp;"|"&amp;TEXT(N96,"0.000")&amp;"|"&amp;TEXT(O96,"0.000")&amp;"|"&amp;TEXT(L96,"0.000")&amp;"|"&amp;M96))</x:f>
      </x:c>
      <x:c r="AN96" s="12" t="str">
        <x:f>IF(A96="","",IF(OR(COUNTIF($C$2:$C$101,C96)&gt;1,AND(AE96&lt;&gt;"",COUNTIF($AE$2:$AE$101,AE96)&gt;1),AND(AM96&lt;&gt;"",COUNTIF($AM$2:$AM$101,AM96)&gt;1)),"BLOCK_POSSIBLE_PHYSICAL_DUPLICATE","PASS_UNIQUE_PHYSICAL_TRIP"))</x:f>
      </x:c>
      <x:c r="AO96" s="12"/>
      <x:c r="AP96" s="12" t="str">
        <x:f>IF(A96="","",IF(AND(Z96="actual",AA96&lt;&gt;"yes",W96="factor_verified",AJ96="PASS_FORMAL_PRECHECK",AN96="PASS_UNIQUE_PHYSICAL_TRIP",AO96="approved",AB96&lt;&gt;"",AD96&lt;&gt;"",AE96&lt;&gt;""),"FORMAL_APPROVED","EXCLUDED_NOT_FORMALLY_APPROVED"))</x:f>
      </x:c>
    </x:row>
    <x:row r="97">
      <x:c r="A97" s="14" t="str"/>
      <x:c r="B97" s="14" t="str"/>
      <x:c r="C97" s="14" t="str"/>
      <x:c r="D97" s="14" t="str"/>
      <x:c r="E97" s="14" t="str"/>
      <x:c r="F97" s="14" t="str"/>
      <x:c r="G97" s="14" t="str"/>
      <x:c r="H97" s="14" t="str">
        <x:f>IF(G97="","",LEFT(G97,7))</x:f>
      </x:c>
      <x:c r="I97" s="14" t="str">
        <x:f>IF(G97="","",LEFT(G97,4))</x:f>
      </x:c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  <x:c r="T97" s="14" t="str"/>
      <x:c r="U97" s="14" t="str"/>
      <x:c r="V97" s="14" t="str"/>
      <x:c r="W97" s="14" t="str"/>
      <x:c r="X97" s="14" t="str">
        <x:f>IF(OR(L97="",T97=""),"",L97*T97)</x:f>
      </x:c>
      <x:c r="Y97" s="14" t="str">
        <x:f>IF(X97="","",X97/1000)</x:f>
      </x:c>
      <x:c r="Z97" s="14" t="str"/>
      <x:c r="AA97" s="14" t="str"/>
      <x:c r="AB97" s="14" t="str"/>
      <x:c r="AC97" s="14" t="str"/>
      <x:c r="AD97" s="14" t="str"/>
      <x:c r="AE97" s="14" t="str"/>
      <x:c r="AF97" s="14" t="str"/>
      <x:c r="AG97" s="14" t="str"/>
      <x:c r="AH97" s="14" t="str"/>
      <x:c r="AI97" s="14" t="str"/>
      <x:c r="AJ97" t="str">
        <x:f>IF(A97="","",IF(OR(COUNT(L97)=0,M97="",COUNT(T97)=0,U97="",C97="",F97="",G97="",J97="",COUNT(N97)=0,COUNT(O97)=0,AB97="",AD97="",AE97=""),"BLOCK_MISSING_REQUIRED",IF(L97&lt;0,"BLOCK_NEGATIVE_ACTIVITY",IF(AND(M97&lt;&gt;"L",M97&lt;&gt;"kWh",M97&lt;&gt;"km",M97&lt;&gt;"t"),"BLOCK_UNSUPPORTED_UNIT",IF(OR(AND(M97="L",U97&lt;&gt;"kgCO2e/L"),AND(M97="kWh",U97&lt;&gt;"kgCO2e/kWh"),AND(M97="km",U97&lt;&gt;"kgCO2e/km"),AND(M97="t",U97&lt;&gt;"kgCO2e/t")),"BLOCK_UNIT_MISMATCH",IF(COUNTIF($A$2:$A$101,A97)&gt;1,"BLOCK_DUPLICATE_LEDGER_ID",IF(AN97&lt;&gt;"PASS_UNIQUE_PHYSICAL_TRIP","BLOCK_POSSIBLE_PHYSICAL_DUPLICATE",IF(AND(Z97="simulated",AA97="yes"),"PASS_SIMULATED_ONLY",IF(AND(Z97="actual",AA97&lt;&gt;"yes",W97="factor_verified",AB97&lt;&gt;"",AD97&lt;&gt;"",AE97&lt;&gt;""),"PASS_FORMAL_PRECHECK","REVIEW_DATA_STATUS")))))))))</x:f>
      </x:c>
      <x:c r="AK97" t="str">
        <x:f>IF(AJ97="","",IF(AJ97="BLOCK_MISSING_REQUIRED","缺少活动量/单位/因子/趟次关键字段/证据标识",IF(AJ97="BLOCK_NEGATIVE_ACTIVITY","活动量为负，禁止进入汇总",IF(AJ97="BLOCK_UNSUPPORTED_UNIT","活动单位不在允许单位白名单中",IF(AJ97="BLOCK_UNIT_MISMATCH","活动单位与因子单位不匹配",IF(AJ97="BLOCK_DUPLICATE_LEDGER_ID","台账行ID重复，需复核",IF(AJ97="BLOCK_POSSIBLE_PHYSICAL_DUPLICATE","疑似同一物理趟次/来源行重复，冻结汇总并复核",IF(AJ97="PASS_SIMULATED_ONLY","结构检查通过，但仅供 simulated 测试",IF(AJ97="PASS_FORMAL_PRECHECK","通过结构预检；仍需人工/负责人审批","数据状态需人工复核")))))))))</x:f>
      </x:c>
      <x:c r="AL97" t="str">
        <x:f>IF(A97="","",IF(OR(Z97="simulated",AA97="yes",W97&lt;&gt;"factor_verified",AJ97&lt;&gt;"PASS_FORMAL_PRECHECK",AB97="",AD97="",AE97=""),"NOT_FORMAL_USE","ELIGIBLE_FOR_REVIEW_NOT_APPROVED"))</x:f>
      </x:c>
      <x:c r="AM97" s="12" t="str">
        <x:f>IF(OR(F97="",G97="",J97="",COUNT(L97)=0,M97="",COUNT(N97)=0,COUNT(O97)=0),"",UPPER(F97&amp;"|"&amp;G97&amp;"|"&amp;J97&amp;"|"&amp;TEXT(N97,"0.000")&amp;"|"&amp;TEXT(O97,"0.000")&amp;"|"&amp;TEXT(L97,"0.000")&amp;"|"&amp;M97))</x:f>
      </x:c>
      <x:c r="AN97" s="12" t="str">
        <x:f>IF(A97="","",IF(OR(COUNTIF($C$2:$C$101,C97)&gt;1,AND(AE97&lt;&gt;"",COUNTIF($AE$2:$AE$101,AE97)&gt;1),AND(AM97&lt;&gt;"",COUNTIF($AM$2:$AM$101,AM97)&gt;1)),"BLOCK_POSSIBLE_PHYSICAL_DUPLICATE","PASS_UNIQUE_PHYSICAL_TRIP"))</x:f>
      </x:c>
      <x:c r="AO97" s="12"/>
      <x:c r="AP97" s="12" t="str">
        <x:f>IF(A97="","",IF(AND(Z97="actual",AA97&lt;&gt;"yes",W97="factor_verified",AJ97="PASS_FORMAL_PRECHECK",AN97="PASS_UNIQUE_PHYSICAL_TRIP",AO97="approved",AB97&lt;&gt;"",AD97&lt;&gt;"",AE97&lt;&gt;""),"FORMAL_APPROVED","EXCLUDED_NOT_FORMALLY_APPROVED"))</x:f>
      </x:c>
    </x:row>
    <x:row r="98">
      <x:c r="A98" s="14" t="str"/>
      <x:c r="B98" s="14" t="str"/>
      <x:c r="C98" s="14" t="str"/>
      <x:c r="D98" s="14" t="str"/>
      <x:c r="E98" s="14" t="str"/>
      <x:c r="F98" s="14" t="str"/>
      <x:c r="G98" s="14" t="str"/>
      <x:c r="H98" s="14" t="str">
        <x:f>IF(G98="","",LEFT(G98,7))</x:f>
      </x:c>
      <x:c r="I98" s="14" t="str">
        <x:f>IF(G98="","",LEFT(G98,4))</x:f>
      </x:c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  <x:c r="T98" s="14" t="str"/>
      <x:c r="U98" s="14" t="str"/>
      <x:c r="V98" s="14" t="str"/>
      <x:c r="W98" s="14" t="str"/>
      <x:c r="X98" s="14" t="str">
        <x:f>IF(OR(L98="",T98=""),"",L98*T98)</x:f>
      </x:c>
      <x:c r="Y98" s="14" t="str">
        <x:f>IF(X98="","",X98/1000)</x:f>
      </x:c>
      <x:c r="Z98" s="14" t="str"/>
      <x:c r="AA98" s="14" t="str"/>
      <x:c r="AB98" s="14" t="str"/>
      <x:c r="AC98" s="14" t="str"/>
      <x:c r="AD98" s="14" t="str"/>
      <x:c r="AE98" s="14" t="str"/>
      <x:c r="AF98" s="14" t="str"/>
      <x:c r="AG98" s="14" t="str"/>
      <x:c r="AH98" s="14" t="str"/>
      <x:c r="AI98" s="14" t="str"/>
      <x:c r="AJ98" t="str">
        <x:f>IF(A98="","",IF(OR(COUNT(L98)=0,M98="",COUNT(T98)=0,U98="",C98="",F98="",G98="",J98="",COUNT(N98)=0,COUNT(O98)=0,AB98="",AD98="",AE98=""),"BLOCK_MISSING_REQUIRED",IF(L98&lt;0,"BLOCK_NEGATIVE_ACTIVITY",IF(AND(M98&lt;&gt;"L",M98&lt;&gt;"kWh",M98&lt;&gt;"km",M98&lt;&gt;"t"),"BLOCK_UNSUPPORTED_UNIT",IF(OR(AND(M98="L",U98&lt;&gt;"kgCO2e/L"),AND(M98="kWh",U98&lt;&gt;"kgCO2e/kWh"),AND(M98="km",U98&lt;&gt;"kgCO2e/km"),AND(M98="t",U98&lt;&gt;"kgCO2e/t")),"BLOCK_UNIT_MISMATCH",IF(COUNTIF($A$2:$A$101,A98)&gt;1,"BLOCK_DUPLICATE_LEDGER_ID",IF(AN98&lt;&gt;"PASS_UNIQUE_PHYSICAL_TRIP","BLOCK_POSSIBLE_PHYSICAL_DUPLICATE",IF(AND(Z98="simulated",AA98="yes"),"PASS_SIMULATED_ONLY",IF(AND(Z98="actual",AA98&lt;&gt;"yes",W98="factor_verified",AB98&lt;&gt;"",AD98&lt;&gt;"",AE98&lt;&gt;""),"PASS_FORMAL_PRECHECK","REVIEW_DATA_STATUS")))))))))</x:f>
      </x:c>
      <x:c r="AK98" t="str">
        <x:f>IF(AJ98="","",IF(AJ98="BLOCK_MISSING_REQUIRED","缺少活动量/单位/因子/趟次关键字段/证据标识",IF(AJ98="BLOCK_NEGATIVE_ACTIVITY","活动量为负，禁止进入汇总",IF(AJ98="BLOCK_UNSUPPORTED_UNIT","活动单位不在允许单位白名单中",IF(AJ98="BLOCK_UNIT_MISMATCH","活动单位与因子单位不匹配",IF(AJ98="BLOCK_DUPLICATE_LEDGER_ID","台账行ID重复，需复核",IF(AJ98="BLOCK_POSSIBLE_PHYSICAL_DUPLICATE","疑似同一物理趟次/来源行重复，冻结汇总并复核",IF(AJ98="PASS_SIMULATED_ONLY","结构检查通过，但仅供 simulated 测试",IF(AJ98="PASS_FORMAL_PRECHECK","通过结构预检；仍需人工/负责人审批","数据状态需人工复核")))))))))</x:f>
      </x:c>
      <x:c r="AL98" t="str">
        <x:f>IF(A98="","",IF(OR(Z98="simulated",AA98="yes",W98&lt;&gt;"factor_verified",AJ98&lt;&gt;"PASS_FORMAL_PRECHECK",AB98="",AD98="",AE98=""),"NOT_FORMAL_USE","ELIGIBLE_FOR_REVIEW_NOT_APPROVED"))</x:f>
      </x:c>
      <x:c r="AM98" s="12" t="str">
        <x:f>IF(OR(F98="",G98="",J98="",COUNT(L98)=0,M98="",COUNT(N98)=0,COUNT(O98)=0),"",UPPER(F98&amp;"|"&amp;G98&amp;"|"&amp;J98&amp;"|"&amp;TEXT(N98,"0.000")&amp;"|"&amp;TEXT(O98,"0.000")&amp;"|"&amp;TEXT(L98,"0.000")&amp;"|"&amp;M98))</x:f>
      </x:c>
      <x:c r="AN98" s="12" t="str">
        <x:f>IF(A98="","",IF(OR(COUNTIF($C$2:$C$101,C98)&gt;1,AND(AE98&lt;&gt;"",COUNTIF($AE$2:$AE$101,AE98)&gt;1),AND(AM98&lt;&gt;"",COUNTIF($AM$2:$AM$101,AM98)&gt;1)),"BLOCK_POSSIBLE_PHYSICAL_DUPLICATE","PASS_UNIQUE_PHYSICAL_TRIP"))</x:f>
      </x:c>
      <x:c r="AO98" s="12"/>
      <x:c r="AP98" s="12" t="str">
        <x:f>IF(A98="","",IF(AND(Z98="actual",AA98&lt;&gt;"yes",W98="factor_verified",AJ98="PASS_FORMAL_PRECHECK",AN98="PASS_UNIQUE_PHYSICAL_TRIP",AO98="approved",AB98&lt;&gt;"",AD98&lt;&gt;"",AE98&lt;&gt;""),"FORMAL_APPROVED","EXCLUDED_NOT_FORMALLY_APPROVED"))</x:f>
      </x:c>
    </x:row>
    <x:row r="99">
      <x:c r="A99" s="14" t="str"/>
      <x:c r="B99" s="14" t="str"/>
      <x:c r="C99" s="14" t="str"/>
      <x:c r="D99" s="14" t="str"/>
      <x:c r="E99" s="14" t="str"/>
      <x:c r="F99" s="14" t="str"/>
      <x:c r="G99" s="14" t="str"/>
      <x:c r="H99" s="14" t="str">
        <x:f>IF(G99="","",LEFT(G99,7))</x:f>
      </x:c>
      <x:c r="I99" s="14" t="str">
        <x:f>IF(G99="","",LEFT(G99,4))</x:f>
      </x:c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  <x:c r="T99" s="14" t="str"/>
      <x:c r="U99" s="14" t="str"/>
      <x:c r="V99" s="14" t="str"/>
      <x:c r="W99" s="14" t="str"/>
      <x:c r="X99" s="14" t="str">
        <x:f>IF(OR(L99="",T99=""),"",L99*T99)</x:f>
      </x:c>
      <x:c r="Y99" s="14" t="str">
        <x:f>IF(X99="","",X99/1000)</x:f>
      </x:c>
      <x:c r="Z99" s="14" t="str"/>
      <x:c r="AA99" s="14" t="str"/>
      <x:c r="AB99" s="14" t="str"/>
      <x:c r="AC99" s="14" t="str"/>
      <x:c r="AD99" s="14" t="str"/>
      <x:c r="AE99" s="14" t="str"/>
      <x:c r="AF99" s="14" t="str"/>
      <x:c r="AG99" s="14" t="str"/>
      <x:c r="AH99" s="14" t="str"/>
      <x:c r="AI99" s="14" t="str"/>
      <x:c r="AJ99" t="str">
        <x:f>IF(A99="","",IF(OR(COUNT(L99)=0,M99="",COUNT(T99)=0,U99="",C99="",F99="",G99="",J99="",COUNT(N99)=0,COUNT(O99)=0,AB99="",AD99="",AE99=""),"BLOCK_MISSING_REQUIRED",IF(L99&lt;0,"BLOCK_NEGATIVE_ACTIVITY",IF(AND(M99&lt;&gt;"L",M99&lt;&gt;"kWh",M99&lt;&gt;"km",M99&lt;&gt;"t"),"BLOCK_UNSUPPORTED_UNIT",IF(OR(AND(M99="L",U99&lt;&gt;"kgCO2e/L"),AND(M99="kWh",U99&lt;&gt;"kgCO2e/kWh"),AND(M99="km",U99&lt;&gt;"kgCO2e/km"),AND(M99="t",U99&lt;&gt;"kgCO2e/t")),"BLOCK_UNIT_MISMATCH",IF(COUNTIF($A$2:$A$101,A99)&gt;1,"BLOCK_DUPLICATE_LEDGER_ID",IF(AN99&lt;&gt;"PASS_UNIQUE_PHYSICAL_TRIP","BLOCK_POSSIBLE_PHYSICAL_DUPLICATE",IF(AND(Z99="simulated",AA99="yes"),"PASS_SIMULATED_ONLY",IF(AND(Z99="actual",AA99&lt;&gt;"yes",W99="factor_verified",AB99&lt;&gt;"",AD99&lt;&gt;"",AE99&lt;&gt;""),"PASS_FORMAL_PRECHECK","REVIEW_DATA_STATUS")))))))))</x:f>
      </x:c>
      <x:c r="AK99" t="str">
        <x:f>IF(AJ99="","",IF(AJ99="BLOCK_MISSING_REQUIRED","缺少活动量/单位/因子/趟次关键字段/证据标识",IF(AJ99="BLOCK_NEGATIVE_ACTIVITY","活动量为负，禁止进入汇总",IF(AJ99="BLOCK_UNSUPPORTED_UNIT","活动单位不在允许单位白名单中",IF(AJ99="BLOCK_UNIT_MISMATCH","活动单位与因子单位不匹配",IF(AJ99="BLOCK_DUPLICATE_LEDGER_ID","台账行ID重复，需复核",IF(AJ99="BLOCK_POSSIBLE_PHYSICAL_DUPLICATE","疑似同一物理趟次/来源行重复，冻结汇总并复核",IF(AJ99="PASS_SIMULATED_ONLY","结构检查通过，但仅供 simulated 测试",IF(AJ99="PASS_FORMAL_PRECHECK","通过结构预检；仍需人工/负责人审批","数据状态需人工复核")))))))))</x:f>
      </x:c>
      <x:c r="AL99" t="str">
        <x:f>IF(A99="","",IF(OR(Z99="simulated",AA99="yes",W99&lt;&gt;"factor_verified",AJ99&lt;&gt;"PASS_FORMAL_PRECHECK",AB99="",AD99="",AE99=""),"NOT_FORMAL_USE","ELIGIBLE_FOR_REVIEW_NOT_APPROVED"))</x:f>
      </x:c>
      <x:c r="AM99" s="12" t="str">
        <x:f>IF(OR(F99="",G99="",J99="",COUNT(L99)=0,M99="",COUNT(N99)=0,COUNT(O99)=0),"",UPPER(F99&amp;"|"&amp;G99&amp;"|"&amp;J99&amp;"|"&amp;TEXT(N99,"0.000")&amp;"|"&amp;TEXT(O99,"0.000")&amp;"|"&amp;TEXT(L99,"0.000")&amp;"|"&amp;M99))</x:f>
      </x:c>
      <x:c r="AN99" s="12" t="str">
        <x:f>IF(A99="","",IF(OR(COUNTIF($C$2:$C$101,C99)&gt;1,AND(AE99&lt;&gt;"",COUNTIF($AE$2:$AE$101,AE99)&gt;1),AND(AM99&lt;&gt;"",COUNTIF($AM$2:$AM$101,AM99)&gt;1)),"BLOCK_POSSIBLE_PHYSICAL_DUPLICATE","PASS_UNIQUE_PHYSICAL_TRIP"))</x:f>
      </x:c>
      <x:c r="AO99" s="12"/>
      <x:c r="AP99" s="12" t="str">
        <x:f>IF(A99="","",IF(AND(Z99="actual",AA99&lt;&gt;"yes",W99="factor_verified",AJ99="PASS_FORMAL_PRECHECK",AN99="PASS_UNIQUE_PHYSICAL_TRIP",AO99="approved",AB99&lt;&gt;"",AD99&lt;&gt;"",AE99&lt;&gt;""),"FORMAL_APPROVED","EXCLUDED_NOT_FORMALLY_APPROVED"))</x:f>
      </x:c>
    </x:row>
    <x:row r="100">
      <x:c r="A100" s="14" t="str"/>
      <x:c r="B100" s="14" t="str"/>
      <x:c r="C100" s="14" t="str"/>
      <x:c r="D100" s="14" t="str"/>
      <x:c r="E100" s="14" t="str"/>
      <x:c r="F100" s="14" t="str"/>
      <x:c r="G100" s="14" t="str"/>
      <x:c r="H100" s="14" t="str">
        <x:f>IF(G100="","",LEFT(G100,7))</x:f>
      </x:c>
      <x:c r="I100" s="14" t="str">
        <x:f>IF(G100="","",LEFT(G100,4))</x:f>
      </x:c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  <x:c r="T100" s="14" t="str"/>
      <x:c r="U100" s="14" t="str"/>
      <x:c r="V100" s="14" t="str"/>
      <x:c r="W100" s="14" t="str"/>
      <x:c r="X100" s="14" t="str">
        <x:f>IF(OR(L100="",T100=""),"",L100*T100)</x:f>
      </x:c>
      <x:c r="Y100" s="14" t="str">
        <x:f>IF(X100="","",X100/1000)</x:f>
      </x:c>
      <x:c r="Z100" s="14" t="str"/>
      <x:c r="AA100" s="14" t="str"/>
      <x:c r="AB100" s="14" t="str"/>
      <x:c r="AC100" s="14" t="str"/>
      <x:c r="AD100" s="14" t="str"/>
      <x:c r="AE100" s="14" t="str"/>
      <x:c r="AF100" s="14" t="str"/>
      <x:c r="AG100" s="14" t="str"/>
      <x:c r="AH100" s="14" t="str"/>
      <x:c r="AI100" s="14" t="str"/>
      <x:c r="AJ100" t="str">
        <x:f>IF(A100="","",IF(OR(COUNT(L100)=0,M100="",COUNT(T100)=0,U100="",C100="",F100="",G100="",J100="",COUNT(N100)=0,COUNT(O100)=0,AB100="",AD100="",AE100=""),"BLOCK_MISSING_REQUIRED",IF(L100&lt;0,"BLOCK_NEGATIVE_ACTIVITY",IF(AND(M100&lt;&gt;"L",M100&lt;&gt;"kWh",M100&lt;&gt;"km",M100&lt;&gt;"t"),"BLOCK_UNSUPPORTED_UNIT",IF(OR(AND(M100="L",U100&lt;&gt;"kgCO2e/L"),AND(M100="kWh",U100&lt;&gt;"kgCO2e/kWh"),AND(M100="km",U100&lt;&gt;"kgCO2e/km"),AND(M100="t",U100&lt;&gt;"kgCO2e/t")),"BLOCK_UNIT_MISMATCH",IF(COUNTIF($A$2:$A$101,A100)&gt;1,"BLOCK_DUPLICATE_LEDGER_ID",IF(AN100&lt;&gt;"PASS_UNIQUE_PHYSICAL_TRIP","BLOCK_POSSIBLE_PHYSICAL_DUPLICATE",IF(AND(Z100="simulated",AA100="yes"),"PASS_SIMULATED_ONLY",IF(AND(Z100="actual",AA100&lt;&gt;"yes",W100="factor_verified",AB100&lt;&gt;"",AD100&lt;&gt;"",AE100&lt;&gt;""),"PASS_FORMAL_PRECHECK","REVIEW_DATA_STATUS")))))))))</x:f>
      </x:c>
      <x:c r="AK100" t="str">
        <x:f>IF(AJ100="","",IF(AJ100="BLOCK_MISSING_REQUIRED","缺少活动量/单位/因子/趟次关键字段/证据标识",IF(AJ100="BLOCK_NEGATIVE_ACTIVITY","活动量为负，禁止进入汇总",IF(AJ100="BLOCK_UNSUPPORTED_UNIT","活动单位不在允许单位白名单中",IF(AJ100="BLOCK_UNIT_MISMATCH","活动单位与因子单位不匹配",IF(AJ100="BLOCK_DUPLICATE_LEDGER_ID","台账行ID重复，需复核",IF(AJ100="BLOCK_POSSIBLE_PHYSICAL_DUPLICATE","疑似同一物理趟次/来源行重复，冻结汇总并复核",IF(AJ100="PASS_SIMULATED_ONLY","结构检查通过，但仅供 simulated 测试",IF(AJ100="PASS_FORMAL_PRECHECK","通过结构预检；仍需人工/负责人审批","数据状态需人工复核")))))))))</x:f>
      </x:c>
      <x:c r="AL100" t="str">
        <x:f>IF(A100="","",IF(OR(Z100="simulated",AA100="yes",W100&lt;&gt;"factor_verified",AJ100&lt;&gt;"PASS_FORMAL_PRECHECK",AB100="",AD100="",AE100=""),"NOT_FORMAL_USE","ELIGIBLE_FOR_REVIEW_NOT_APPROVED"))</x:f>
      </x:c>
      <x:c r="AM100" s="12" t="str">
        <x:f>IF(OR(F100="",G100="",J100="",COUNT(L100)=0,M100="",COUNT(N100)=0,COUNT(O100)=0),"",UPPER(F100&amp;"|"&amp;G100&amp;"|"&amp;J100&amp;"|"&amp;TEXT(N100,"0.000")&amp;"|"&amp;TEXT(O100,"0.000")&amp;"|"&amp;TEXT(L100,"0.000")&amp;"|"&amp;M100))</x:f>
      </x:c>
      <x:c r="AN100" s="12" t="str">
        <x:f>IF(A100="","",IF(OR(COUNTIF($C$2:$C$101,C100)&gt;1,AND(AE100&lt;&gt;"",COUNTIF($AE$2:$AE$101,AE100)&gt;1),AND(AM100&lt;&gt;"",COUNTIF($AM$2:$AM$101,AM100)&gt;1)),"BLOCK_POSSIBLE_PHYSICAL_DUPLICATE","PASS_UNIQUE_PHYSICAL_TRIP"))</x:f>
      </x:c>
      <x:c r="AO100" s="12"/>
      <x:c r="AP100" s="12" t="str">
        <x:f>IF(A100="","",IF(AND(Z100="actual",AA100&lt;&gt;"yes",W100="factor_verified",AJ100="PASS_FORMAL_PRECHECK",AN100="PASS_UNIQUE_PHYSICAL_TRIP",AO100="approved",AB100&lt;&gt;"",AD100&lt;&gt;"",AE100&lt;&gt;""),"FORMAL_APPROVED","EXCLUDED_NOT_FORMALLY_APPROVED"))</x:f>
      </x:c>
    </x:row>
    <x:row r="101">
      <x:c r="A101" s="14" t="str"/>
      <x:c r="B101" s="14" t="str"/>
      <x:c r="C101" s="14" t="str"/>
      <x:c r="D101" s="14" t="str"/>
      <x:c r="E101" s="14" t="str"/>
      <x:c r="F101" s="14" t="str"/>
      <x:c r="G101" s="14" t="str"/>
      <x:c r="H101" s="14" t="str">
        <x:f>IF(G101="","",LEFT(G101,7))</x:f>
      </x:c>
      <x:c r="I101" s="14" t="str">
        <x:f>IF(G101="","",LEFT(G101,4))</x:f>
      </x:c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  <x:c r="T101" s="14" t="str"/>
      <x:c r="U101" s="14" t="str"/>
      <x:c r="V101" s="14" t="str"/>
      <x:c r="W101" s="14" t="str"/>
      <x:c r="X101" s="14" t="str">
        <x:f>IF(OR(L101="",T101=""),"",L101*T101)</x:f>
      </x:c>
      <x:c r="Y101" s="14" t="str">
        <x:f>IF(X101="","",X101/1000)</x:f>
      </x:c>
      <x:c r="Z101" s="14" t="str"/>
      <x:c r="AA101" s="14" t="str"/>
      <x:c r="AB101" s="14" t="str"/>
      <x:c r="AC101" s="14" t="str"/>
      <x:c r="AD101" s="14" t="str"/>
      <x:c r="AE101" s="14" t="str"/>
      <x:c r="AF101" s="14" t="str"/>
      <x:c r="AG101" s="14" t="str"/>
      <x:c r="AH101" s="14" t="str"/>
      <x:c r="AI101" s="14" t="str"/>
      <x:c r="AJ101" t="str">
        <x:f>IF(A101="","",IF(OR(COUNT(L101)=0,M101="",COUNT(T101)=0,U101="",C101="",F101="",G101="",J101="",COUNT(N101)=0,COUNT(O101)=0,AB101="",AD101="",AE101=""),"BLOCK_MISSING_REQUIRED",IF(L101&lt;0,"BLOCK_NEGATIVE_ACTIVITY",IF(AND(M101&lt;&gt;"L",M101&lt;&gt;"kWh",M101&lt;&gt;"km",M101&lt;&gt;"t"),"BLOCK_UNSUPPORTED_UNIT",IF(OR(AND(M101="L",U101&lt;&gt;"kgCO2e/L"),AND(M101="kWh",U101&lt;&gt;"kgCO2e/kWh"),AND(M101="km",U101&lt;&gt;"kgCO2e/km"),AND(M101="t",U101&lt;&gt;"kgCO2e/t")),"BLOCK_UNIT_MISMATCH",IF(COUNTIF($A$2:$A$101,A101)&gt;1,"BLOCK_DUPLICATE_LEDGER_ID",IF(AN101&lt;&gt;"PASS_UNIQUE_PHYSICAL_TRIP","BLOCK_POSSIBLE_PHYSICAL_DUPLICATE",IF(AND(Z101="simulated",AA101="yes"),"PASS_SIMULATED_ONLY",IF(AND(Z101="actual",AA101&lt;&gt;"yes",W101="factor_verified",AB101&lt;&gt;"",AD101&lt;&gt;"",AE101&lt;&gt;""),"PASS_FORMAL_PRECHECK","REVIEW_DATA_STATUS")))))))))</x:f>
      </x:c>
      <x:c r="AK101" t="str">
        <x:f>IF(AJ101="","",IF(AJ101="BLOCK_MISSING_REQUIRED","缺少活动量/单位/因子/趟次关键字段/证据标识",IF(AJ101="BLOCK_NEGATIVE_ACTIVITY","活动量为负，禁止进入汇总",IF(AJ101="BLOCK_UNSUPPORTED_UNIT","活动单位不在允许单位白名单中",IF(AJ101="BLOCK_UNIT_MISMATCH","活动单位与因子单位不匹配",IF(AJ101="BLOCK_DUPLICATE_LEDGER_ID","台账行ID重复，需复核",IF(AJ101="BLOCK_POSSIBLE_PHYSICAL_DUPLICATE","疑似同一物理趟次/来源行重复，冻结汇总并复核",IF(AJ101="PASS_SIMULATED_ONLY","结构检查通过，但仅供 simulated 测试",IF(AJ101="PASS_FORMAL_PRECHECK","通过结构预检；仍需人工/负责人审批","数据状态需人工复核")))))))))</x:f>
      </x:c>
      <x:c r="AL101" t="str">
        <x:f>IF(A101="","",IF(OR(Z101="simulated",AA101="yes",W101&lt;&gt;"factor_verified",AJ101&lt;&gt;"PASS_FORMAL_PRECHECK",AB101="",AD101="",AE101=""),"NOT_FORMAL_USE","ELIGIBLE_FOR_REVIEW_NOT_APPROVED"))</x:f>
      </x:c>
      <x:c r="AM101" s="12" t="str">
        <x:f>IF(OR(F101="",G101="",J101="",COUNT(L101)=0,M101="",COUNT(N101)=0,COUNT(O101)=0),"",UPPER(F101&amp;"|"&amp;G101&amp;"|"&amp;J101&amp;"|"&amp;TEXT(N101,"0.000")&amp;"|"&amp;TEXT(O101,"0.000")&amp;"|"&amp;TEXT(L101,"0.000")&amp;"|"&amp;M101))</x:f>
      </x:c>
      <x:c r="AN101" s="12" t="str">
        <x:f>IF(A101="","",IF(OR(COUNTIF($C$2:$C$101,C101)&gt;1,AND(AE101&lt;&gt;"",COUNTIF($AE$2:$AE$101,AE101)&gt;1),AND(AM101&lt;&gt;"",COUNTIF($AM$2:$AM$101,AM101)&gt;1)),"BLOCK_POSSIBLE_PHYSICAL_DUPLICATE","PASS_UNIQUE_PHYSICAL_TRIP"))</x:f>
      </x:c>
      <x:c r="AO101" s="12"/>
      <x:c r="AP101" s="12" t="str">
        <x:f>IF(A101="","",IF(AND(Z101="actual",AA101&lt;&gt;"yes",W101="factor_verified",AJ101="PASS_FORMAL_PRECHECK",AN101="PASS_UNIQUE_PHYSICAL_TRIP",AO101="approved",AB101&lt;&gt;"",AD101&lt;&gt;"",AE101&lt;&gt;""),"FORMAL_APPROVED","EXCLUDED_NOT_FORMALLY_APPROVED"))</x:f>
      </x:c>
    </x:row>
  </x:sheetData>
  <x:conditionalFormatting sqref="AJ2:AJ101">
    <x:cfRule type="expression" dxfId="0" priority="1">
      <x:formula>LEFT(AJ2,5)="BLOCK"</x:formula>
    </x:cfRule>
  </x:conditionalFormatting>
  <x:dataValidations count="3">
    <x:dataValidation type="list" sqref="AO2:AO13">
      <x:formula1>"not approved,approved"</x:formula1>
    </x:dataValidation>
    <x:dataValidation type="list" sqref="M2:M101">
      <x:formula1>"L,kWh,km,t"</x:formula1>
    </x:dataValidation>
    <x:dataValidation type="list" sqref="AO2:AO101">
      <x:formula1>"not approved,approved"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9fdaeb85d14673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0" hidden="0" customWidth="1"/>
    <x:col min="3" max="3" width="26" hidden="0" customWidth="1"/>
    <x:col min="4" max="4" width="20" hidden="0" customWidth="1"/>
    <x:col min="5" max="5" width="34" hidden="0" customWidth="1"/>
  </x:cols>
  <x:sheetData>
    <x:row r="1" ht="34" customHeight="1">
      <x:c r="A1" s="6" t="str">
        <x:v>Month</x:v>
      </x:c>
      <x:c r="B1" s="6" t="str">
        <x:v>Included_Row_Count</x:v>
      </x:c>
      <x:c r="C1" s="6" t="str">
        <x:v>Total_Emissions_tCO2e</x:v>
      </x:c>
      <x:c r="D1" s="6" t="str">
        <x:v>Data_State</x:v>
      </x:c>
      <x:c r="E1" s="6" t="str">
        <x:v>Report_Status</x:v>
      </x:c>
    </x:row>
    <x:row r="2">
      <x:c r="A2" s="14" t="str">
        <x:v>2026-10</x:v>
      </x:c>
      <x:c r="B2" s="14" t="n">
        <x:f>COUNTIFS(Trip_Detail!$H$2:$H$101,A2,Trip_Detail!$AG$2:$AG$101,"Y")</x:f>
        <x:v>5</x:v>
      </x:c>
      <x:c r="C2" s="14" t="n">
        <x:f>SUMIFS(Trip_Detail!$Y$2:$Y$101,Trip_Detail!$H$2:$H$101,A2,Trip_Detail!$AG$2:$AG$101,"Y")</x:f>
        <x:v>0.8441320000000001</x:v>
      </x:c>
      <x:c r="D2" s="14" t="str">
        <x:v>simulated only</x:v>
      </x:c>
      <x:c r="E2" s="14" t="str">
        <x:v>SIMULATED_TEST_SUMMARY_NOT_FORMAL</x:v>
      </x:c>
    </x:row>
    <x:row r="3">
      <x:c r="A3" s="14" t="str">
        <x:v>2026-11</x:v>
      </x:c>
      <x:c r="B3" s="14" t="n">
        <x:f>COUNTIFS(Trip_Detail!$H$2:$H$101,A3,Trip_Detail!$AG$2:$AG$101,"Y")</x:f>
        <x:v>4</x:v>
      </x:c>
      <x:c r="C3" s="14" t="n">
        <x:f>SUMIFS(Trip_Detail!$Y$2:$Y$101,Trip_Detail!$H$2:$H$101,A3,Trip_Detail!$AG$2:$AG$101,"Y")</x:f>
        <x:v>1.14178</x:v>
      </x:c>
      <x:c r="D3" s="14" t="str">
        <x:v>simulated only</x:v>
      </x:c>
      <x:c r="E3" s="14" t="str">
        <x:v>SIMULATED_TEST_SUMMARY_NOT_FORMAL</x:v>
      </x:c>
    </x:row>
    <x:row r="4">
      <x:c r="A4" s="14" t="str">
        <x:v>2026-12</x:v>
      </x:c>
      <x:c r="B4" s="14" t="n">
        <x:f>COUNTIFS(Trip_Detail!$H$2:$H$101,A4,Trip_Detail!$AG$2:$AG$101,"Y")</x:f>
        <x:v>3</x:v>
      </x:c>
      <x:c r="C4" s="14" t="n">
        <x:f>SUMIFS(Trip_Detail!$Y$2:$Y$101,Trip_Detail!$H$2:$H$101,A4,Trip_Detail!$AG$2:$AG$101,"Y")</x:f>
        <x:v>0.45338599999999996</x:v>
      </x:c>
      <x:c r="D4" s="14" t="str">
        <x:v>simulated only</x:v>
      </x:c>
      <x:c r="E4" s="14" t="str">
        <x:v>SIMULATED_TEST_SUMMARY_NOT_FORMAL</x:v>
      </x:c>
    </x:row>
  </x:sheetData>
  <x:pageMargins left="0.7" right="0.7" top="0.75" bottom="0.75" header="0.3" footer="0.3"/>
  <x:tableParts count="1">
    <x:tablePart xmlns:r="http://schemas.openxmlformats.org/officeDocument/2006/relationships" r:id="R4d5dedc4f11b459d"/>
  </x:tableParts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26" hidden="0" customWidth="1"/>
    <x:col min="4" max="4" width="20" hidden="0" customWidth="1"/>
    <x:col min="5" max="5" width="34" hidden="0" customWidth="1"/>
  </x:cols>
  <x:sheetData>
    <x:row r="1" ht="34" customHeight="1">
      <x:c r="A1" s="6" t="str">
        <x:v>Year</x:v>
      </x:c>
      <x:c r="B1" s="6" t="str">
        <x:v>Included_Row_Count</x:v>
      </x:c>
      <x:c r="C1" s="6" t="str">
        <x:v>Total_Emissions_tCO2e</x:v>
      </x:c>
      <x:c r="D1" s="6" t="str">
        <x:v>Data_State</x:v>
      </x:c>
      <x:c r="E1" s="6" t="str">
        <x:v>Report_Status</x:v>
      </x:c>
    </x:row>
    <x:row r="2">
      <x:c r="A2" s="14" t="n">
        <x:v>2026</x:v>
      </x:c>
      <x:c r="B2" s="14" t="n">
        <x:f>COUNTIFS(Trip_Detail!$I$2:$I$101,A2,Trip_Detail!$AG$2:$AG$101,"Y")</x:f>
        <x:v>12</x:v>
      </x:c>
      <x:c r="C2" s="14" t="n">
        <x:f>SUMIFS(Trip_Detail!$Y$2:$Y$101,Trip_Detail!$I$2:$I$101,A2,Trip_Detail!$AG$2:$AG$101,"Y")</x:f>
        <x:v>2.4392980000000004</x:v>
      </x:c>
      <x:c r="D2" s="14" t="str">
        <x:v>simulated only</x:v>
      </x:c>
      <x:c r="E2" s="14" t="str">
        <x:v>SIMULATED_TEST_SUMMARY_NOT_FORMAL</x:v>
      </x:c>
    </x:row>
  </x:sheetData>
  <x:pageMargins left="0.7" right="0.7" top="0.75" bottom="0.75" header="0.3" footer="0.3"/>
  <x:tableParts count="1">
    <x:tablePart xmlns:r="http://schemas.openxmlformats.org/officeDocument/2006/relationships" r:id="R9914a84ae8b34e0a"/>
  </x:tableParts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0" hidden="0" customWidth="1"/>
    <x:col min="7" max="7" width="22" hidden="0" customWidth="1"/>
    <x:col min="8" max="8" width="24" hidden="0" customWidth="1"/>
    <x:col min="9" max="9" width="36" hidden="0" customWidth="1"/>
    <x:col min="10" max="10" width="18" hidden="0" customWidth="1"/>
    <x:col min="11" max="11" width="12" hidden="0" customWidth="1"/>
    <x:col min="12" max="12" width="58" hidden="0" customWidth="1"/>
  </x:cols>
  <x:sheetData>
    <x:row r="1" ht="34" customHeight="1">
      <x:c r="A1" s="6" t="str">
        <x:v>Segment_ID</x:v>
      </x:c>
      <x:c r="B1" s="6" t="str">
        <x:v>Trip_ID</x:v>
      </x:c>
      <x:c r="C1" s="6" t="str">
        <x:v>Vehicle_ID</x:v>
      </x:c>
      <x:c r="D1" s="6" t="str">
        <x:v>Segment_Date</x:v>
      </x:c>
      <x:c r="E1" s="6" t="str">
        <x:v>Distance_km</x:v>
      </x:c>
      <x:c r="F1" s="6" t="str">
        <x:v>Activity_ID</x:v>
      </x:c>
      <x:c r="G1" s="6" t="str">
        <x:v>Trip_Ledger_Row_ID</x:v>
      </x:c>
      <x:c r="H1" s="6" t="str">
        <x:v>Emissions_tCO2e_Link</x:v>
      </x:c>
      <x:c r="I1" s="6" t="str">
        <x:v>Aggregation_Rule</x:v>
      </x:c>
      <x:c r="J1" s="6" t="str">
        <x:v>Data_Status</x:v>
      </x:c>
      <x:c r="K1" s="6" t="str">
        <x:v>Simulated</x:v>
      </x:c>
      <x:c r="L1" s="6" t="str">
        <x:v>Notes</x:v>
      </x:c>
    </x:row>
    <x:row r="2">
      <x:c r="A2" s="14" t="str">
        <x:v>SEG-SIM-001</x:v>
      </x:c>
      <x:c r="B2" s="14" t="str">
        <x:v>TRIP-SIM-001</x:v>
      </x:c>
      <x:c r="C2" s="14" t="str">
        <x:v>VH-SIM-001</x:v>
      </x:c>
      <x:c r="D2" s="14" t="str">
        <x:v>2026-10-03</x:v>
      </x:c>
      <x:c r="E2" s="14" t="n">
        <x:v>185</x:v>
      </x:c>
      <x:c r="F2" s="14" t="str">
        <x:v>ACT-SIM-0001</x:v>
      </x:c>
      <x:c r="G2" s="14" t="str">
        <x:v>LR-SIM-0001</x:v>
      </x:c>
      <x:c r="H2" s="14" t="n">
        <x:f>Trip_Detail!Y2</x:f>
        <x:v>0.20698000000000003</x:v>
      </x:c>
      <x:c r="I2" s="14" t="str">
        <x:v>映射视图，不与Trip_Detail重复汇总</x:v>
      </x:c>
      <x:c r="J2" s="14" t="str">
        <x:v>simulated</x:v>
      </x:c>
      <x:c r="K2" s="14" t="str">
        <x:v>yes</x:v>
      </x:c>
      <x:c r="L2" s="14" t="str">
        <x:v>仅合成路段；排放引用唯一加总主表；不得再与主表相加。</x:v>
      </x:c>
    </x:row>
    <x:row r="3">
      <x:c r="A3" s="14" t="str">
        <x:v>SEG-SIM-002</x:v>
      </x:c>
      <x:c r="B3" s="14" t="str">
        <x:v>TRIP-SIM-002</x:v>
      </x:c>
      <x:c r="C3" s="14" t="str">
        <x:v>VH-SIM-002</x:v>
      </x:c>
      <x:c r="D3" s="14" t="str">
        <x:v>2026-10-04</x:v>
      </x:c>
      <x:c r="E3" s="14" t="n">
        <x:v>260</x:v>
      </x:c>
      <x:c r="F3" s="14" t="str">
        <x:v>ACT-SIM-0002</x:v>
      </x:c>
      <x:c r="G3" s="14" t="str">
        <x:v>LR-SIM-0002</x:v>
      </x:c>
      <x:c r="H3" s="14" t="n">
        <x:f>Trip_Detail!Y3</x:f>
        <x:v>0.2528</x:v>
      </x:c>
      <x:c r="I3" s="14" t="str">
        <x:v>映射视图，不与Trip_Detail重复汇总</x:v>
      </x:c>
      <x:c r="J3" s="14" t="str">
        <x:v>simulated</x:v>
      </x:c>
      <x:c r="K3" s="14" t="str">
        <x:v>yes</x:v>
      </x:c>
      <x:c r="L3" s="14" t="str">
        <x:v>仅合成路段；排放引用唯一加总主表；不得再与主表相加。</x:v>
      </x:c>
    </x:row>
    <x:row r="4">
      <x:c r="A4" s="14" t="str">
        <x:v>SEG-SIM-003</x:v>
      </x:c>
      <x:c r="B4" s="14" t="str">
        <x:v>TRIP-SIM-003</x:v>
      </x:c>
      <x:c r="C4" s="14" t="str">
        <x:v>VH-SIM-003</x:v>
      </x:c>
      <x:c r="D4" s="14" t="str">
        <x:v>2026-10-05</x:v>
      </x:c>
      <x:c r="E4" s="14" t="n">
        <x:v>60</x:v>
      </x:c>
      <x:c r="F4" s="14" t="str">
        <x:v>ACT-SIM-0003</x:v>
      </x:c>
      <x:c r="G4" s="14" t="str">
        <x:v>LR-SIM-0003</x:v>
      </x:c>
      <x:c r="H4" s="14" t="n">
        <x:f>Trip_Detail!Y4</x:f>
        <x:v>0.08352</x:v>
      </x:c>
      <x:c r="I4" s="14" t="str">
        <x:v>映射视图，不与Trip_Detail重复汇总</x:v>
      </x:c>
      <x:c r="J4" s="14" t="str">
        <x:v>simulated</x:v>
      </x:c>
      <x:c r="K4" s="14" t="str">
        <x:v>yes</x:v>
      </x:c>
      <x:c r="L4" s="14" t="str">
        <x:v>仅合成路段；排放引用唯一加总主表；不得再与主表相加。</x:v>
      </x:c>
    </x:row>
    <x:row r="5">
      <x:c r="A5" t="str">
        <x:v>SEG-SIM-004</x:v>
      </x:c>
      <x:c r="B5" t="str">
        <x:v>TRIP-SIM-004</x:v>
      </x:c>
      <x:c r="C5" t="str">
        <x:v>VH-SIM-002</x:v>
      </x:c>
      <x:c r="D5" t="str">
        <x:v>2026-10-19</x:v>
      </x:c>
      <x:c r="E5" t="n">
        <x:v>94</x:v>
      </x:c>
      <x:c r="F5" t="str">
        <x:v>ACT-SIM-0004</x:v>
      </x:c>
      <x:c r="G5" t="str">
        <x:v>LR-SIM-0004</x:v>
      </x:c>
      <x:c r="H5" t="n">
        <x:f>Trip_Detail!Y5</x:f>
        <x:v>0.13272</x:v>
      </x:c>
      <x:c r="J5" t="str">
        <x:v>simulated</x:v>
      </x:c>
      <x:c r="K5" t="str">
        <x:v>yes</x:v>
      </x:c>
      <x:c r="L5" t="str">
        <x:v>仅合成路段；排放引用唯一加总主表；不得再与主表相加。</x:v>
      </x:c>
    </x:row>
    <x:row r="6">
      <x:c r="A6" t="str">
        <x:v>SEG-SIM-005</x:v>
      </x:c>
      <x:c r="B6" t="str">
        <x:v>TRIP-SIM-005</x:v>
      </x:c>
      <x:c r="C6" t="str">
        <x:v>VH-SIM-003</x:v>
      </x:c>
      <x:c r="D6" t="str">
        <x:v>2026-10-30</x:v>
      </x:c>
      <x:c r="E6" t="n">
        <x:v>122</x:v>
      </x:c>
      <x:c r="F6" t="str">
        <x:v>ACT-SIM-0005</x:v>
      </x:c>
      <x:c r="G6" t="str">
        <x:v>LR-SIM-0005</x:v>
      </x:c>
      <x:c r="H6" t="n">
        <x:f>Trip_Detail!Y6</x:f>
        <x:v>0.168112</x:v>
      </x:c>
      <x:c r="J6" t="str">
        <x:v>simulated</x:v>
      </x:c>
      <x:c r="K6" t="str">
        <x:v>yes</x:v>
      </x:c>
      <x:c r="L6" t="str">
        <x:v>仅合成路段；排放引用唯一加总主表；不得再与主表相加。</x:v>
      </x:c>
    </x:row>
    <x:row r="7">
      <x:c r="A7" t="str">
        <x:v>SEG-SIM-006</x:v>
      </x:c>
      <x:c r="B7" t="str">
        <x:v>TRIP-SIM-006</x:v>
      </x:c>
      <x:c r="C7" t="str">
        <x:v>VH-SIM-004</x:v>
      </x:c>
      <x:c r="D7" t="str">
        <x:v>2026-11-01</x:v>
      </x:c>
      <x:c r="E7" t="n">
        <x:v>45</x:v>
      </x:c>
      <x:c r="F7" t="str">
        <x:v>ACT-SIM-0006</x:v>
      </x:c>
      <x:c r="G7" t="str">
        <x:v>LR-SIM-0006</x:v>
      </x:c>
      <x:c r="H7" t="n">
        <x:f>Trip_Detail!Y7</x:f>
        <x:v>0.05567999999999999</x:v>
      </x:c>
      <x:c r="J7" t="str">
        <x:v>simulated</x:v>
      </x:c>
      <x:c r="K7" t="str">
        <x:v>yes</x:v>
      </x:c>
      <x:c r="L7" t="str">
        <x:v>仅合成路段；排放引用唯一加总主表；不得再与主表相加。</x:v>
      </x:c>
    </x:row>
    <x:row r="8">
      <x:c r="A8" t="str">
        <x:v>SEG-SIM-007</x:v>
      </x:c>
      <x:c r="B8" t="str">
        <x:v>TRIP-SIM-007</x:v>
      </x:c>
      <x:c r="C8" t="str">
        <x:v>VH-SIM-005</x:v>
      </x:c>
      <x:c r="D8" t="str">
        <x:v>2026-11-05</x:v>
      </x:c>
      <x:c r="E8" t="n">
        <x:v>340</x:v>
      </x:c>
      <x:c r="F8" t="str">
        <x:v>ACT-SIM-0007</x:v>
      </x:c>
      <x:c r="G8" t="str">
        <x:v>LR-SIM-0007</x:v>
      </x:c>
      <x:c r="H8" t="n">
        <x:f>Trip_Detail!Y8</x:f>
        <x:v>0.28756</x:v>
      </x:c>
      <x:c r="J8" t="str">
        <x:v>simulated</x:v>
      </x:c>
      <x:c r="K8" t="str">
        <x:v>yes</x:v>
      </x:c>
      <x:c r="L8" t="str">
        <x:v>仅合成路段；排放引用唯一加总主表；不得再与主表相加。</x:v>
      </x:c>
    </x:row>
    <x:row r="9">
      <x:c r="A9" t="str">
        <x:v>SEG-SIM-008</x:v>
      </x:c>
      <x:c r="B9" t="str">
        <x:v>TRIP-SIM-008</x:v>
      </x:c>
      <x:c r="C9" t="str">
        <x:v>VH-SIM-006</x:v>
      </x:c>
      <x:c r="D9" t="str">
        <x:v>2026-11-18</x:v>
      </x:c>
      <x:c r="E9" t="n">
        <x:v>280</x:v>
      </x:c>
      <x:c r="F9" t="str">
        <x:v>ACT-SIM-0008</x:v>
      </x:c>
      <x:c r="G9" t="str">
        <x:v>LR-SIM-0008</x:v>
      </x:c>
      <x:c r="H9" t="n">
        <x:f>Trip_Detail!Y9</x:f>
        <x:v>0.24174</x:v>
      </x:c>
      <x:c r="J9" t="str">
        <x:v>simulated</x:v>
      </x:c>
      <x:c r="K9" t="str">
        <x:v>yes</x:v>
      </x:c>
      <x:c r="L9" t="str">
        <x:v>仅合成路段；排放引用唯一加总主表；不得再与主表相加。</x:v>
      </x:c>
    </x:row>
    <x:row r="10">
      <x:c r="A10" t="str">
        <x:v>SEG-SIM-009</x:v>
      </x:c>
      <x:c r="B10" t="str">
        <x:v>TRIP-SIM-009</x:v>
      </x:c>
      <x:c r="C10" t="str">
        <x:v>VH-SIM-007</x:v>
      </x:c>
      <x:c r="D10" t="str">
        <x:v>2026-11-28</x:v>
      </x:c>
      <x:c r="E10" t="n">
        <x:v>510</x:v>
      </x:c>
      <x:c r="F10" t="str">
        <x:v>ACT-SIM-0009</x:v>
      </x:c>
      <x:c r="G10" t="str">
        <x:v>LR-SIM-0009</x:v>
      </x:c>
      <x:c r="H10" t="n">
        <x:f>Trip_Detail!Y10</x:f>
        <x:v>0.5568</x:v>
      </x:c>
      <x:c r="J10" t="str">
        <x:v>simulated</x:v>
      </x:c>
      <x:c r="K10" t="str">
        <x:v>yes</x:v>
      </x:c>
      <x:c r="L10" t="str">
        <x:v>仅合成路段；排放引用唯一加总主表；不得再与主表相加。</x:v>
      </x:c>
    </x:row>
    <x:row r="11">
      <x:c r="A11" t="str">
        <x:v>SEG-SIM-010</x:v>
      </x:c>
      <x:c r="B11" t="str">
        <x:v>TRIP-SIM-010</x:v>
      </x:c>
      <x:c r="C11" t="str">
        <x:v>VH-SIM-008</x:v>
      </x:c>
      <x:c r="D11" t="str">
        <x:v>2026-12-02</x:v>
      </x:c>
      <x:c r="E11" t="n">
        <x:v>115</x:v>
      </x:c>
      <x:c r="F11" t="str">
        <x:v>ACT-SIM-0010</x:v>
      </x:c>
      <x:c r="G11" t="str">
        <x:v>LR-SIM-0010</x:v>
      </x:c>
      <x:c r="H11" t="n">
        <x:f>Trip_Detail!Y11</x:f>
        <x:v>0.12229200000000001</x:v>
      </x:c>
      <x:c r="J11" t="str">
        <x:v>simulated</x:v>
      </x:c>
      <x:c r="K11" t="str">
        <x:v>yes</x:v>
      </x:c>
      <x:c r="L11" t="str">
        <x:v>仅合成路段；排放引用唯一加总主表；不得再与主表相加。</x:v>
      </x:c>
    </x:row>
    <x:row r="12">
      <x:c r="A12" t="str">
        <x:v>SEG-SIM-011</x:v>
      </x:c>
      <x:c r="B12" t="str">
        <x:v>TRIP-SIM-011</x:v>
      </x:c>
      <x:c r="C12" t="str">
        <x:v>VH-SIM-009</x:v>
      </x:c>
      <x:c r="D12" t="str">
        <x:v>2026-12-15</x:v>
      </x:c>
      <x:c r="E12" t="n">
        <x:v>220</x:v>
      </x:c>
      <x:c r="F12" t="str">
        <x:v>ACT-SIM-0011</x:v>
      </x:c>
      <x:c r="G12" t="str">
        <x:v>LR-SIM-0011</x:v>
      </x:c>
      <x:c r="H12" t="n">
        <x:f>Trip_Detail!Y12</x:f>
        <x:v>0.20303</x:v>
      </x:c>
      <x:c r="J12" t="str">
        <x:v>simulated</x:v>
      </x:c>
      <x:c r="K12" t="str">
        <x:v>yes</x:v>
      </x:c>
      <x:c r="L12" t="str">
        <x:v>仅合成路段；排放引用唯一加总主表；不得再与主表相加。</x:v>
      </x:c>
    </x:row>
    <x:row r="13">
      <x:c r="A13" t="str">
        <x:v>SEG-SIM-012</x:v>
      </x:c>
      <x:c r="B13" t="str">
        <x:v>TRIP-SIM-012</x:v>
      </x:c>
      <x:c r="C13" t="str">
        <x:v>VH-SIM-010</x:v>
      </x:c>
      <x:c r="D13" t="str">
        <x:v>2026-12-23</x:v>
      </x:c>
      <x:c r="E13" t="n">
        <x:v>140</x:v>
      </x:c>
      <x:c r="F13" t="str">
        <x:v>ACT-SIM-0012</x:v>
      </x:c>
      <x:c r="G13" t="str">
        <x:v>LR-SIM-0012</x:v>
      </x:c>
      <x:c r="H13" t="n">
        <x:f>Trip_Detail!Y13</x:f>
        <x:v>0.12806399999999998</x:v>
      </x:c>
      <x:c r="J13" t="str">
        <x:v>simulated</x:v>
      </x:c>
      <x:c r="K13" t="str">
        <x:v>yes</x:v>
      </x:c>
      <x:c r="L13" t="str">
        <x:v>仅合成路段；排放引用唯一加总主表；不得再与主表相加。</x:v>
      </x:c>
    </x:row>
  </x:sheetData>
  <x:pageMargins left="0.7" right="0.7" top="0.75" bottom="0.75" header="0.3" footer="0.3"/>
  <x:tableParts count="1">
    <x:tablePart xmlns:r="http://schemas.openxmlformats.org/officeDocument/2006/relationships" r:id="R5039492ac9014342"/>
  </x:tableParts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  <x:col min="4" max="4" width="18" hidden="0" customWidth="1"/>
    <x:col min="5" max="5" width="20" hidden="0" customWidth="1"/>
    <x:col min="6" max="6" width="18" hidden="0" customWidth="1"/>
    <x:col min="7" max="7" width="18" hidden="0" customWidth="1"/>
    <x:col min="8" max="8" width="22" hidden="0" customWidth="1"/>
    <x:col min="9" max="9" width="24" hidden="0" customWidth="1"/>
    <x:col min="10" max="10" width="18" hidden="0" customWidth="1"/>
    <x:col min="11" max="11" width="28" hidden="0" customWidth="1"/>
    <x:col min="12" max="12" width="18" hidden="0" customWidth="1"/>
    <x:col min="13" max="13" width="12" hidden="0" customWidth="1"/>
    <x:col min="14" max="14" width="36" hidden="0" customWidth="1"/>
    <x:col min="15" max="15" width="58" hidden="0" customWidth="1"/>
  </x:cols>
  <x:sheetData>
    <x:row r="1" ht="34" customHeight="1">
      <x:c r="A1" s="6" t="str">
        <x:v>Waybill_ID</x:v>
      </x:c>
      <x:c r="B1" s="6" t="str">
        <x:v>Trip_ID</x:v>
      </x:c>
      <x:c r="C1" s="6" t="str">
        <x:v>Segment_ID</x:v>
      </x:c>
      <x:c r="D1" s="6" t="str">
        <x:v>Vehicle_ID</x:v>
      </x:c>
      <x:c r="E1" s="6" t="str">
        <x:v>Activity_ID</x:v>
      </x:c>
      <x:c r="F1" s="6" t="str">
        <x:v>Evidence_ID</x:v>
      </x:c>
      <x:c r="G1" s="6" t="str">
        <x:v>Invoice_No</x:v>
      </x:c>
      <x:c r="H1" s="6" t="str">
        <x:v>Trip_Ledger_Row_ID</x:v>
      </x:c>
      <x:c r="I1" s="6" t="str">
        <x:v>Emissions_tCO2e_Link</x:v>
      </x:c>
      <x:c r="J1" s="6" t="str">
        <x:v>Allocation_Share</x:v>
      </x:c>
      <x:c r="K1" s="6" t="str">
        <x:v>Allocated_Emissions_tCO2e</x:v>
      </x:c>
      <x:c r="L1" s="6" t="str">
        <x:v>Data_Status</x:v>
      </x:c>
      <x:c r="M1" s="6" t="str">
        <x:v>Simulated</x:v>
      </x:c>
      <x:c r="N1" s="6" t="str">
        <x:v>Aggregation_Rule</x:v>
      </x:c>
      <x:c r="O1" s="6" t="str">
        <x:v>Notes</x:v>
      </x:c>
      <x:c r="P1" s="20" t="str">
        <x:v>Allocation_Check</x:v>
      </x:c>
      <x:c r="Q1" s="20" t="str">
        <x:v>Allocation_Control_Key</x:v>
      </x:c>
    </x:row>
    <x:row r="2">
      <x:c r="A2" s="14" t="str">
        <x:v>WB-SIM-001</x:v>
      </x:c>
      <x:c r="B2" s="14" t="str">
        <x:v>TRIP-SIM-001</x:v>
      </x:c>
      <x:c r="C2" s="14" t="str">
        <x:v>SEG-SIM-001</x:v>
      </x:c>
      <x:c r="D2" s="14" t="str">
        <x:v>VH-SIM-001</x:v>
      </x:c>
      <x:c r="E2" s="14" t="str">
        <x:v>ACT-SIM-0001</x:v>
      </x:c>
      <x:c r="F2" s="14" t="str">
        <x:v>EVD-SIM-001</x:v>
      </x:c>
      <x:c r="G2" s="14" t="str">
        <x:v>INV-SIM-001</x:v>
      </x:c>
      <x:c r="H2" s="14" t="str">
        <x:v>LR-SIM-0001</x:v>
      </x:c>
      <x:c r="I2" s="14" t="n">
        <x:f>INDEX(Trip_Detail!$Y$2:$Y$101,MATCH(H2,Trip_Detail!$A$2:$A$101,0))</x:f>
        <x:v>0.20698000000000003</x:v>
      </x:c>
      <x:c r="J2" s="14" t="n">
        <x:v>1</x:v>
      </x:c>
      <x:c r="K2" s="14" t="n">
        <x:f>I2*J2</x:f>
        <x:v>0.20698000000000003</x:v>
      </x:c>
      <x:c r="L2" s="14" t="str">
        <x:v>simulated</x:v>
      </x:c>
      <x:c r="M2" s="14" t="str">
        <x:v>yes</x:v>
      </x:c>
      <x:c r="N2" s="14" t="str">
        <x:v>映射视图，不与Trip_Detail重复汇总</x:v>
      </x:c>
      <x:c r="O2" s="14" t="str">
        <x:v>one simulated waybill mapped to one simulated trip; mapping view only</x:v>
      </x:c>
      <x:c r="P2" t="str">
        <x:f>IF(A2="","",IF(ABS(SUMIF($B$2:$B$14,B2,$J$2:$J$14)-1)&lt;=0.000001,"PASS_SHARE_SUM_1","BLOCK_SHARE_SUM"))</x:f>
        <x:v>PASS_SHARE_SUM_1</x:v>
      </x:c>
      <x:c r="Q2" t="str">
        <x:f>IF(A2="","",B2&amp;"|"&amp;C2)</x:f>
        <x:v>TRIP-SIM-001|SEG-SIM-001</x:v>
      </x:c>
    </x:row>
    <x:row r="3">
      <x:c r="A3" s="14" t="str">
        <x:v>WB-SIM-002</x:v>
      </x:c>
      <x:c r="B3" s="14" t="str">
        <x:v>TRIP-SIM-002</x:v>
      </x:c>
      <x:c r="C3" s="14" t="str">
        <x:v>SEG-SIM-002</x:v>
      </x:c>
      <x:c r="D3" s="14" t="str">
        <x:v>VH-SIM-002</x:v>
      </x:c>
      <x:c r="E3" s="14" t="str">
        <x:v>ACT-SIM-0002</x:v>
      </x:c>
      <x:c r="F3" s="14" t="str">
        <x:v>EVD-SIM-002</x:v>
      </x:c>
      <x:c r="G3" s="14" t="str">
        <x:v>INV-SIM-002</x:v>
      </x:c>
      <x:c r="H3" s="14" t="str">
        <x:v>LR-SIM-0002</x:v>
      </x:c>
      <x:c r="I3" s="14" t="n">
        <x:f>INDEX(Trip_Detail!$Y$2:$Y$101,MATCH(H3,Trip_Detail!$A$2:$A$101,0))</x:f>
        <x:v>0.2528</x:v>
      </x:c>
      <x:c r="J3" s="14" t="n">
        <x:v>1</x:v>
      </x:c>
      <x:c r="K3" s="14" t="n">
        <x:f>I3*J3</x:f>
        <x:v>0.2528</x:v>
      </x:c>
      <x:c r="L3" s="14" t="str">
        <x:v>simulated</x:v>
      </x:c>
      <x:c r="M3" s="14" t="str">
        <x:v>yes</x:v>
      </x:c>
      <x:c r="N3" s="14" t="str">
        <x:v>映射视图，不与Trip_Detail重复汇总</x:v>
      </x:c>
      <x:c r="O3" s="14" t="str">
        <x:v>one simulated waybill mapped to one simulated trip; mapping view only</x:v>
      </x:c>
      <x:c r="P3" t="str">
        <x:f>IF(A3="","",IF(ABS(SUMIF($B$2:$B$14,B3,$J$2:$J$14)-1)&lt;=0.000001,"PASS_SHARE_SUM_1","BLOCK_SHARE_SUM"))</x:f>
        <x:v>PASS_SHARE_SUM_1</x:v>
      </x:c>
      <x:c r="Q3" t="str">
        <x:f>IF(A3="","",B3&amp;"|"&amp;C3)</x:f>
        <x:v>TRIP-SIM-002|SEG-SIM-002</x:v>
      </x:c>
    </x:row>
    <x:row r="4">
      <x:c r="A4" s="14" t="str">
        <x:v>WB-SIM-003</x:v>
      </x:c>
      <x:c r="B4" s="14" t="str">
        <x:v>TRIP-SIM-003</x:v>
      </x:c>
      <x:c r="C4" s="14" t="str">
        <x:v>SEG-SIM-003</x:v>
      </x:c>
      <x:c r="D4" s="14" t="str">
        <x:v>VH-SIM-003</x:v>
      </x:c>
      <x:c r="E4" s="14" t="str">
        <x:v>ACT-SIM-0003</x:v>
      </x:c>
      <x:c r="F4" s="14" t="str">
        <x:v>EVD-SIM-003</x:v>
      </x:c>
      <x:c r="G4" s="14" t="str">
        <x:v>INV-SIM-003</x:v>
      </x:c>
      <x:c r="H4" s="14" t="str">
        <x:v>LR-SIM-0003</x:v>
      </x:c>
      <x:c r="I4" s="14" t="n">
        <x:f>INDEX(Trip_Detail!$Y$2:$Y$101,MATCH(H4,Trip_Detail!$A$2:$A$101,0))</x:f>
        <x:v>0.08352</x:v>
      </x:c>
      <x:c r="J4" s="14" t="n">
        <x:v>1</x:v>
      </x:c>
      <x:c r="K4" s="14" t="n">
        <x:f>I4*J4</x:f>
        <x:v>0.08352</x:v>
      </x:c>
      <x:c r="L4" s="14" t="str">
        <x:v>simulated</x:v>
      </x:c>
      <x:c r="M4" s="14" t="str">
        <x:v>yes</x:v>
      </x:c>
      <x:c r="N4" s="14" t="str">
        <x:v>映射视图，不与Trip_Detail重复汇总</x:v>
      </x:c>
      <x:c r="O4" s="14" t="str">
        <x:v>one simulated waybill mapped to one simulated trip; mapping view only</x:v>
      </x:c>
      <x:c r="P4" t="str">
        <x:f>IF(A4="","",IF(ABS(SUMIF($B$2:$B$14,B4,$J$2:$J$14)-1)&lt;=0.000001,"PASS_SHARE_SUM_1","BLOCK_SHARE_SUM"))</x:f>
        <x:v>PASS_SHARE_SUM_1</x:v>
      </x:c>
      <x:c r="Q4" t="str">
        <x:f>IF(A4="","",B4&amp;"|"&amp;C4)</x:f>
        <x:v>TRIP-SIM-003|SEG-SIM-003</x:v>
      </x:c>
    </x:row>
    <x:row r="5">
      <x:c r="A5" t="str">
        <x:v>WB-SIM-004</x:v>
      </x:c>
      <x:c r="B5" t="str">
        <x:v>TRIP-SIM-004</x:v>
      </x:c>
      <x:c r="C5" t="str">
        <x:v>SEG-SIM-004</x:v>
      </x:c>
      <x:c r="D5" t="str">
        <x:v>VH-SIM-002</x:v>
      </x:c>
      <x:c r="E5" t="str">
        <x:v>ACT-SIM-0004</x:v>
      </x:c>
      <x:c r="F5" t="str">
        <x:v>EVD-SIM-004</x:v>
      </x:c>
      <x:c r="G5" t="str">
        <x:v>INV-SIM-004</x:v>
      </x:c>
      <x:c r="H5" t="str">
        <x:v>LR-SIM-0004</x:v>
      </x:c>
      <x:c r="I5" t="n">
        <x:f>INDEX(Trip_Detail!$Y$2:$Y$101,MATCH(H5,Trip_Detail!$A$2:$A$101,0))</x:f>
        <x:v>0.13272</x:v>
      </x:c>
      <x:c r="J5" t="n">
        <x:v>1</x:v>
      </x:c>
      <x:c r="K5" t="n">
        <x:f>I5*J5</x:f>
        <x:v>0.13272</x:v>
      </x:c>
      <x:c r="L5" t="str">
        <x:v>simulated</x:v>
      </x:c>
      <x:c r="M5" t="str">
        <x:v>yes</x:v>
      </x:c>
      <x:c r="N5" t="str">
        <x:v>映射视图，不与Trip_Detail重复汇总</x:v>
      </x:c>
      <x:c r="O5" t="str">
        <x:v>one simulated waybill mapped to one simulated trip; mapping view only</x:v>
      </x:c>
      <x:c r="P5" t="str">
        <x:f>IF(A5="","",IF(ABS(SUMIF($B$2:$B$14,B5,$J$2:$J$14)-1)&lt;=0.000001,"PASS_SHARE_SUM_1","BLOCK_SHARE_SUM"))</x:f>
        <x:v>PASS_SHARE_SUM_1</x:v>
      </x:c>
      <x:c r="Q5" t="str">
        <x:f>IF(A5="","",B5&amp;"|"&amp;C5)</x:f>
        <x:v>TRIP-SIM-004|SEG-SIM-004</x:v>
      </x:c>
    </x:row>
    <x:row r="6">
      <x:c r="A6" t="str">
        <x:v>WB-SIM-005</x:v>
      </x:c>
      <x:c r="B6" t="str">
        <x:v>TRIP-SIM-005</x:v>
      </x:c>
      <x:c r="C6" t="str">
        <x:v>SEG-SIM-005</x:v>
      </x:c>
      <x:c r="D6" t="str">
        <x:v>VH-SIM-003</x:v>
      </x:c>
      <x:c r="E6" t="str">
        <x:v>ACT-SIM-0005</x:v>
      </x:c>
      <x:c r="F6" t="str">
        <x:v>EVD-SIM-005</x:v>
      </x:c>
      <x:c r="G6" t="str">
        <x:v>INV-SIM-005</x:v>
      </x:c>
      <x:c r="H6" t="str">
        <x:v>LR-SIM-0005</x:v>
      </x:c>
      <x:c r="I6" t="n">
        <x:f>INDEX(Trip_Detail!$Y$2:$Y$101,MATCH(H6,Trip_Detail!$A$2:$A$101,0))</x:f>
        <x:v>0.168112</x:v>
      </x:c>
      <x:c r="J6" t="n">
        <x:v>1</x:v>
      </x:c>
      <x:c r="K6" t="n">
        <x:f>I6*J6</x:f>
        <x:v>0.168112</x:v>
      </x:c>
      <x:c r="L6" t="str">
        <x:v>simulated</x:v>
      </x:c>
      <x:c r="M6" t="str">
        <x:v>yes</x:v>
      </x:c>
      <x:c r="N6" t="str">
        <x:v>映射视图，不与Trip_Detail重复汇总</x:v>
      </x:c>
      <x:c r="O6" t="str">
        <x:v>one simulated waybill mapped to one simulated trip; mapping view only</x:v>
      </x:c>
      <x:c r="P6" t="str">
        <x:f>IF(A6="","",IF(ABS(SUMIF($B$2:$B$14,B6,$J$2:$J$14)-1)&lt;=0.000001,"PASS_SHARE_SUM_1","BLOCK_SHARE_SUM"))</x:f>
        <x:v>PASS_SHARE_SUM_1</x:v>
      </x:c>
      <x:c r="Q6" t="str">
        <x:f>IF(A6="","",B6&amp;"|"&amp;C6)</x:f>
        <x:v>TRIP-SIM-005|SEG-SIM-005</x:v>
      </x:c>
    </x:row>
    <x:row r="7">
      <x:c r="A7" t="str">
        <x:v>WB-SIM-006</x:v>
      </x:c>
      <x:c r="B7" t="str">
        <x:v>TRIP-SIM-006</x:v>
      </x:c>
      <x:c r="C7" t="str">
        <x:v>SEG-SIM-006</x:v>
      </x:c>
      <x:c r="D7" t="str">
        <x:v>VH-SIM-004</x:v>
      </x:c>
      <x:c r="E7" t="str">
        <x:v>ACT-SIM-0006</x:v>
      </x:c>
      <x:c r="F7" t="str">
        <x:v>EVD-SIM-006</x:v>
      </x:c>
      <x:c r="G7" t="str">
        <x:v>INV-SIM-006</x:v>
      </x:c>
      <x:c r="H7" t="str">
        <x:v>LR-SIM-0006</x:v>
      </x:c>
      <x:c r="I7" t="n">
        <x:f>INDEX(Trip_Detail!$Y$2:$Y$101,MATCH(H7,Trip_Detail!$A$2:$A$101,0))</x:f>
        <x:v>0.05567999999999999</x:v>
      </x:c>
      <x:c r="J7" t="n">
        <x:v>1</x:v>
      </x:c>
      <x:c r="K7" t="n">
        <x:f>I7*J7</x:f>
        <x:v>0.05567999999999999</x:v>
      </x:c>
      <x:c r="L7" t="str">
        <x:v>simulated</x:v>
      </x:c>
      <x:c r="M7" t="str">
        <x:v>yes</x:v>
      </x:c>
      <x:c r="N7" t="str">
        <x:v>映射视图，不与Trip_Detail重复汇总</x:v>
      </x:c>
      <x:c r="O7" t="str">
        <x:v>one simulated waybill mapped to one simulated trip; mapping view only</x:v>
      </x:c>
      <x:c r="P7" t="str">
        <x:f>IF(A7="","",IF(ABS(SUMIF($B$2:$B$14,B7,$J$2:$J$14)-1)&lt;=0.000001,"PASS_SHARE_SUM_1","BLOCK_SHARE_SUM"))</x:f>
        <x:v>PASS_SHARE_SUM_1</x:v>
      </x:c>
      <x:c r="Q7" t="str">
        <x:f>IF(A7="","",B7&amp;"|"&amp;C7)</x:f>
        <x:v>TRIP-SIM-006|SEG-SIM-006</x:v>
      </x:c>
    </x:row>
    <x:row r="8">
      <x:c r="A8" t="str">
        <x:v>WB-SIM-007</x:v>
      </x:c>
      <x:c r="B8" t="str">
        <x:v>TRIP-SIM-007</x:v>
      </x:c>
      <x:c r="C8" t="str">
        <x:v>SEG-SIM-007</x:v>
      </x:c>
      <x:c r="D8" t="str">
        <x:v>VH-SIM-005</x:v>
      </x:c>
      <x:c r="E8" t="str">
        <x:v>ACT-SIM-0007</x:v>
      </x:c>
      <x:c r="F8" t="str">
        <x:v>EVD-SIM-007</x:v>
      </x:c>
      <x:c r="G8" t="str">
        <x:v>INV-SIM-007</x:v>
      </x:c>
      <x:c r="H8" t="str">
        <x:v>LR-SIM-0007</x:v>
      </x:c>
      <x:c r="I8" t="n">
        <x:f>INDEX(Trip_Detail!$Y$2:$Y$101,MATCH(H8,Trip_Detail!$A$2:$A$101,0))</x:f>
        <x:v>0.28756</x:v>
      </x:c>
      <x:c r="J8" t="n">
        <x:v>1</x:v>
      </x:c>
      <x:c r="K8" t="n">
        <x:f>I8*J8</x:f>
        <x:v>0.28756</x:v>
      </x:c>
      <x:c r="L8" t="str">
        <x:v>simulated</x:v>
      </x:c>
      <x:c r="M8" t="str">
        <x:v>yes</x:v>
      </x:c>
      <x:c r="N8" t="str">
        <x:v>映射视图，不与Trip_Detail重复汇总</x:v>
      </x:c>
      <x:c r="O8" t="str">
        <x:v>one simulated waybill mapped to one simulated trip; mapping view only</x:v>
      </x:c>
      <x:c r="P8" t="str">
        <x:f>IF(A8="","",IF(ABS(SUMIF($B$2:$B$14,B8,$J$2:$J$14)-1)&lt;=0.000001,"PASS_SHARE_SUM_1","BLOCK_SHARE_SUM"))</x:f>
        <x:v>PASS_SHARE_SUM_1</x:v>
      </x:c>
      <x:c r="Q8" t="str">
        <x:f>IF(A8="","",B8&amp;"|"&amp;C8)</x:f>
        <x:v>TRIP-SIM-007|SEG-SIM-007</x:v>
      </x:c>
    </x:row>
    <x:row r="9">
      <x:c r="A9" t="str">
        <x:v>WB-SIM-008</x:v>
      </x:c>
      <x:c r="B9" t="str">
        <x:v>TRIP-SIM-008</x:v>
      </x:c>
      <x:c r="C9" t="str">
        <x:v>SEG-SIM-008</x:v>
      </x:c>
      <x:c r="D9" t="str">
        <x:v>VH-SIM-006</x:v>
      </x:c>
      <x:c r="E9" t="str">
        <x:v>ACT-SIM-0008</x:v>
      </x:c>
      <x:c r="F9" t="str">
        <x:v>EVD-SIM-008</x:v>
      </x:c>
      <x:c r="G9" t="str">
        <x:v>INV-SIM-008</x:v>
      </x:c>
      <x:c r="H9" t="str">
        <x:v>LR-SIM-0008</x:v>
      </x:c>
      <x:c r="I9" t="n">
        <x:f>INDEX(Trip_Detail!$Y$2:$Y$101,MATCH(H9,Trip_Detail!$A$2:$A$101,0))</x:f>
        <x:v>0.24174</x:v>
      </x:c>
      <x:c r="J9" t="n">
        <x:v>1</x:v>
      </x:c>
      <x:c r="K9" t="n">
        <x:f>I9*J9</x:f>
        <x:v>0.24174</x:v>
      </x:c>
      <x:c r="L9" t="str">
        <x:v>simulated</x:v>
      </x:c>
      <x:c r="M9" t="str">
        <x:v>yes</x:v>
      </x:c>
      <x:c r="N9" t="str">
        <x:v>映射视图，不与Trip_Detail重复汇总</x:v>
      </x:c>
      <x:c r="O9" t="str">
        <x:v>one simulated waybill mapped to one simulated trip; mapping view only</x:v>
      </x:c>
      <x:c r="P9" t="str">
        <x:f>IF(A9="","",IF(ABS(SUMIF($B$2:$B$14,B9,$J$2:$J$14)-1)&lt;=0.000001,"PASS_SHARE_SUM_1","BLOCK_SHARE_SUM"))</x:f>
        <x:v>PASS_SHARE_SUM_1</x:v>
      </x:c>
      <x:c r="Q9" t="str">
        <x:f>IF(A9="","",B9&amp;"|"&amp;C9)</x:f>
        <x:v>TRIP-SIM-008|SEG-SIM-008</x:v>
      </x:c>
    </x:row>
    <x:row r="10">
      <x:c r="A10" t="str">
        <x:v>WB-SIM-009</x:v>
      </x:c>
      <x:c r="B10" t="str">
        <x:v>TRIP-SIM-009</x:v>
      </x:c>
      <x:c r="C10" t="str">
        <x:v>SEG-SIM-009</x:v>
      </x:c>
      <x:c r="D10" t="str">
        <x:v>VH-SIM-007</x:v>
      </x:c>
      <x:c r="E10" t="str">
        <x:v>ACT-SIM-0009</x:v>
      </x:c>
      <x:c r="F10" t="str">
        <x:v>EVD-SIM-009</x:v>
      </x:c>
      <x:c r="G10" t="str">
        <x:v>INV-SIM-009</x:v>
      </x:c>
      <x:c r="H10" t="str">
        <x:v>LR-SIM-0009</x:v>
      </x:c>
      <x:c r="I10" t="n">
        <x:f>INDEX(Trip_Detail!$Y$2:$Y$101,MATCH(H10,Trip_Detail!$A$2:$A$101,0))</x:f>
        <x:v>0.5568</x:v>
      </x:c>
      <x:c r="J10" t="n">
        <x:v>1</x:v>
      </x:c>
      <x:c r="K10" t="n">
        <x:f>I10*J10</x:f>
        <x:v>0.5568</x:v>
      </x:c>
      <x:c r="L10" t="str">
        <x:v>simulated</x:v>
      </x:c>
      <x:c r="M10" t="str">
        <x:v>yes</x:v>
      </x:c>
      <x:c r="N10" t="str">
        <x:v>映射视图，不与Trip_Detail重复汇总</x:v>
      </x:c>
      <x:c r="O10" t="str">
        <x:v>one simulated waybill mapped to one simulated trip; mapping view only</x:v>
      </x:c>
      <x:c r="P10" t="str">
        <x:f>IF(A10="","",IF(ABS(SUMIF($B$2:$B$14,B10,$J$2:$J$14)-1)&lt;=0.000001,"PASS_SHARE_SUM_1","BLOCK_SHARE_SUM"))</x:f>
        <x:v>PASS_SHARE_SUM_1</x:v>
      </x:c>
      <x:c r="Q10" t="str">
        <x:f>IF(A10="","",B10&amp;"|"&amp;C10)</x:f>
        <x:v>TRIP-SIM-009|SEG-SIM-009</x:v>
      </x:c>
    </x:row>
    <x:row r="11">
      <x:c r="A11" t="str">
        <x:v>WB-SIM-010A</x:v>
      </x:c>
      <x:c r="B11" t="str">
        <x:v>TRIP-SIM-010</x:v>
      </x:c>
      <x:c r="C11" t="str">
        <x:v>SEG-SIM-010</x:v>
      </x:c>
      <x:c r="D11" t="str">
        <x:v>VH-SIM-008</x:v>
      </x:c>
      <x:c r="E11" t="str">
        <x:v>ACT-SIM-0010</x:v>
      </x:c>
      <x:c r="F11" t="str">
        <x:v>EVD-SIM-010</x:v>
      </x:c>
      <x:c r="G11" t="str">
        <x:v>INV-SIM-010</x:v>
      </x:c>
      <x:c r="H11" t="str">
        <x:v>LR-SIM-0010</x:v>
      </x:c>
      <x:c r="I11" t="n">
        <x:f>INDEX(Trip_Detail!$Y$2:$Y$101,MATCH(H11,Trip_Detail!$A$2:$A$101,0))</x:f>
        <x:v>0.12229200000000001</x:v>
      </x:c>
      <x:c r="J11" t="n">
        <x:v>0.4</x:v>
      </x:c>
      <x:c r="K11" t="n">
        <x:f>I11*J11</x:f>
        <x:v>0.04891680000000001</x:v>
      </x:c>
      <x:c r="L11" t="str">
        <x:v>simulated</x:v>
      </x:c>
      <x:c r="M11" t="str">
        <x:v>yes</x:v>
      </x:c>
      <x:c r="N11" t="str">
        <x:v>映射视图，不与Trip_Detail重复汇总</x:v>
      </x:c>
      <x:c r="O11" t="str">
        <x:v>synthetic allocation; same physical trip total allocated only in mapping view</x:v>
      </x:c>
      <x:c r="P11" t="str">
        <x:f>IF(A11="","",IF(ABS(SUMIF($B$2:$B$14,B11,$J$2:$J$14)-1)&lt;=0.000001,"PASS_SHARE_SUM_1","BLOCK_SHARE_SUM"))</x:f>
        <x:v>PASS_SHARE_SUM_1</x:v>
      </x:c>
      <x:c r="Q11" t="str">
        <x:f>IF(A11="","",B11&amp;"|"&amp;C11)</x:f>
        <x:v>TRIP-SIM-010|SEG-SIM-010</x:v>
      </x:c>
    </x:row>
    <x:row r="12">
      <x:c r="A12" t="str">
        <x:v>WB-SIM-010B</x:v>
      </x:c>
      <x:c r="B12" t="str">
        <x:v>TRIP-SIM-010</x:v>
      </x:c>
      <x:c r="C12" t="str">
        <x:v>SEG-SIM-010</x:v>
      </x:c>
      <x:c r="D12" t="str">
        <x:v>VH-SIM-008</x:v>
      </x:c>
      <x:c r="E12" t="str">
        <x:v>ACT-SIM-0010</x:v>
      </x:c>
      <x:c r="F12" t="str">
        <x:v>EVD-SIM-010</x:v>
      </x:c>
      <x:c r="G12" t="str">
        <x:v>INV-SIM-010</x:v>
      </x:c>
      <x:c r="H12" t="str">
        <x:v>LR-SIM-0010</x:v>
      </x:c>
      <x:c r="I12" t="n">
        <x:f>INDEX(Trip_Detail!$Y$2:$Y$101,MATCH(H12,Trip_Detail!$A$2:$A$101,0))</x:f>
        <x:v>0.12229200000000001</x:v>
      </x:c>
      <x:c r="J12" t="n">
        <x:v>0.6</x:v>
      </x:c>
      <x:c r="K12" t="n">
        <x:f>I12*J12</x:f>
        <x:v>0.0733752</x:v>
      </x:c>
      <x:c r="L12" t="str">
        <x:v>simulated</x:v>
      </x:c>
      <x:c r="M12" t="str">
        <x:v>yes</x:v>
      </x:c>
      <x:c r="N12" t="str">
        <x:v>映射视图，不与Trip_Detail重复汇总</x:v>
      </x:c>
      <x:c r="O12" t="str">
        <x:v>synthetic allocation; same physical trip total allocated only in mapping view</x:v>
      </x:c>
      <x:c r="P12" t="str">
        <x:f>IF(A12="","",IF(ABS(SUMIF($B$2:$B$14,B12,$J$2:$J$14)-1)&lt;=0.000001,"PASS_SHARE_SUM_1","BLOCK_SHARE_SUM"))</x:f>
        <x:v>PASS_SHARE_SUM_1</x:v>
      </x:c>
      <x:c r="Q12" t="str">
        <x:f>IF(A12="","",B12&amp;"|"&amp;C12)</x:f>
        <x:v>TRIP-SIM-010|SEG-SIM-010</x:v>
      </x:c>
    </x:row>
    <x:row r="13">
      <x:c r="A13" t="str">
        <x:v>WB-SIM-011</x:v>
      </x:c>
      <x:c r="B13" t="str">
        <x:v>TRIP-SIM-011</x:v>
      </x:c>
      <x:c r="C13" t="str">
        <x:v>SEG-SIM-011</x:v>
      </x:c>
      <x:c r="D13" t="str">
        <x:v>VH-SIM-009</x:v>
      </x:c>
      <x:c r="E13" t="str">
        <x:v>ACT-SIM-0011</x:v>
      </x:c>
      <x:c r="F13" t="str">
        <x:v>EVD-SIM-011</x:v>
      </x:c>
      <x:c r="G13" t="str">
        <x:v>INV-SIM-011</x:v>
      </x:c>
      <x:c r="H13" t="str">
        <x:v>LR-SIM-0011</x:v>
      </x:c>
      <x:c r="I13" t="n">
        <x:f>INDEX(Trip_Detail!$Y$2:$Y$101,MATCH(H13,Trip_Detail!$A$2:$A$101,0))</x:f>
        <x:v>0.20303</x:v>
      </x:c>
      <x:c r="J13" t="n">
        <x:v>1</x:v>
      </x:c>
      <x:c r="K13" t="n">
        <x:f>I13*J13</x:f>
        <x:v>0.20303</x:v>
      </x:c>
      <x:c r="L13" t="str">
        <x:v>simulated</x:v>
      </x:c>
      <x:c r="M13" t="str">
        <x:v>yes</x:v>
      </x:c>
      <x:c r="N13" t="str">
        <x:v>映射视图，不与Trip_Detail重复汇总</x:v>
      </x:c>
      <x:c r="O13" t="str">
        <x:v>one simulated waybill mapped to one simulated trip; mapping view only</x:v>
      </x:c>
      <x:c r="P13" t="str">
        <x:f>IF(A13="","",IF(ABS(SUMIF($B$2:$B$14,B13,$J$2:$J$14)-1)&lt;=0.000001,"PASS_SHARE_SUM_1","BLOCK_SHARE_SUM"))</x:f>
        <x:v>PASS_SHARE_SUM_1</x:v>
      </x:c>
      <x:c r="Q13" t="str">
        <x:f>IF(A13="","",B13&amp;"|"&amp;C13)</x:f>
        <x:v>TRIP-SIM-011|SEG-SIM-011</x:v>
      </x:c>
    </x:row>
    <x:row r="14">
      <x:c r="A14" t="str">
        <x:v>WB-SIM-012</x:v>
      </x:c>
      <x:c r="B14" t="str">
        <x:v>TRIP-SIM-012</x:v>
      </x:c>
      <x:c r="C14" t="str">
        <x:v>SEG-SIM-012</x:v>
      </x:c>
      <x:c r="D14" t="str">
        <x:v>VH-SIM-010</x:v>
      </x:c>
      <x:c r="E14" t="str">
        <x:v>ACT-SIM-0012</x:v>
      </x:c>
      <x:c r="F14" t="str">
        <x:v>EVD-SIM-012</x:v>
      </x:c>
      <x:c r="G14" t="str">
        <x:v>INV-SIM-012</x:v>
      </x:c>
      <x:c r="H14" t="str">
        <x:v>LR-SIM-0012</x:v>
      </x:c>
      <x:c r="I14" t="n">
        <x:f>INDEX(Trip_Detail!$Y$2:$Y$101,MATCH(H14,Trip_Detail!$A$2:$A$101,0))</x:f>
        <x:v>0.12806399999999998</x:v>
      </x:c>
      <x:c r="J14" t="n">
        <x:v>1</x:v>
      </x:c>
      <x:c r="K14" t="n">
        <x:f>I14*J14</x:f>
        <x:v>0.12806399999999998</x:v>
      </x:c>
      <x:c r="L14" t="str">
        <x:v>simulated</x:v>
      </x:c>
      <x:c r="M14" t="str">
        <x:v>yes</x:v>
      </x:c>
      <x:c r="N14" t="str">
        <x:v>映射视图，不与Trip_Detail重复汇总</x:v>
      </x:c>
      <x:c r="O14" t="str">
        <x:v>one simulated waybill mapped to one simulated trip; mapping view only</x:v>
      </x:c>
      <x:c r="P14" t="str">
        <x:f>IF(A14="","",IF(ABS(SUMIF($B$2:$B$14,B14,$J$2:$J$14)-1)&lt;=0.000001,"PASS_SHARE_SUM_1","BLOCK_SHARE_SUM"))</x:f>
        <x:v>PASS_SHARE_SUM_1</x:v>
      </x:c>
      <x:c r="Q14" t="str">
        <x:f>IF(A14="","",B14&amp;"|"&amp;C14)</x:f>
        <x:v>TRIP-SIM-012|SEG-SIM-012</x:v>
      </x:c>
    </x:row>
  </x:sheetData>
  <x:pageMargins left="0.7" right="0.7" top="0.75" bottom="0.75" header="0.3" footer="0.3"/>
  <x:tableParts count="1">
    <x:tablePart xmlns:r="http://schemas.openxmlformats.org/officeDocument/2006/relationships" r:id="R134f4edcdd09452a"/>
  </x:tableParts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18" hidden="0" customWidth="1"/>
    <x:col min="4" max="4" width="22" hidden="0" customWidth="1"/>
    <x:col min="5" max="5" width="72" hidden="0" customWidth="1"/>
    <x:col min="6" max="6" width="56" hidden="0" customWidth="1"/>
  </x:cols>
  <x:sheetData>
    <x:row r="1" ht="34" customHeight="1">
      <x:c r="A1" s="6" t="str">
        <x:v>Pending_Item_ID</x:v>
      </x:c>
      <x:c r="B1" s="6" t="str">
        <x:v>Status</x:v>
      </x:c>
      <x:c r="C1" s="6" t="str">
        <x:v>Data_Included</x:v>
      </x:c>
      <x:c r="D1" s="6" t="str">
        <x:v>Calculation_Performed</x:v>
      </x:c>
      <x:c r="E1" s="6" t="str">
        <x:v>Instruction</x:v>
      </x:c>
      <x:c r="F1" s="6" t="str">
        <x:v>Next_Input</x:v>
      </x:c>
    </x:row>
    <x:row r="2">
      <x:c r="A2" s="14" t="str">
        <x:v>PENDING-4VEH</x:v>
      </x:c>
      <x:c r="B2" s="14" t="str">
        <x:v>按负责人指示暂不处理</x:v>
      </x:c>
      <x:c r="C2" s="14" t="str">
        <x:v>N</x:v>
      </x:c>
      <x:c r="D2" s="14" t="str">
        <x:v>N</x:v>
      </x:c>
      <x:c r="E2" s="14" t="str">
        <x:v>既有四辆车偏差样例不复制、不计算、不进入碳账或汇总。</x:v>
      </x:c>
      <x:c r="F2" s="14" t="str">
        <x:v>等待后续新数据到来；收到后再按当时规则处理。</x:v>
      </x:c>
    </x:row>
  </x:sheetData>
  <x:pageMargins left="0.7" right="0.7" top="0.75" bottom="0.75" header="0.3" footer="0.3"/>
  <x:tableParts count="1">
    <x:tablePart xmlns:r="http://schemas.openxmlformats.org/officeDocument/2006/relationships" r:id="R484591c2140d486b"/>
  </x:tableParts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10" hidden="0" customWidth="1"/>
  </x:cols>
  <x:sheetData>
    <x:row r="1" ht="34" customHeight="1">
      <x:c r="A1" s="6" t="str">
        <x:v>主题</x:v>
      </x:c>
      <x:c r="B1" s="6" t="str">
        <x:v>说明</x:v>
      </x:c>
    </x:row>
    <x:row r="2">
      <x:c r="A2" s="14" t="str">
        <x:v>主计量表</x:v>
      </x:c>
      <x:c r="B2" s="14" t="str">
        <x:v>Trip_Detail为唯一加总来源；Segment_Detail与Waybill_Detail仅为关联映射视图，不可与Trip_Detail重复相加。</x:v>
      </x:c>
    </x:row>
    <x:row r="3">
      <x:c r="A3" s="14" t="str">
        <x:v>去重键</x:v>
      </x:c>
      <x:c r="B3" s="14" t="str">
        <x:v>候选重复组由trip_id、segment_id、vehicle_id、时间、来源行、运单关联和run_id共同支持；不自动删除/覆盖原始数据。</x:v>
      </x:c>
    </x:row>
    <x:row r="4">
      <x:c r="A4" s="14" t="str">
        <x:v>模拟因子</x:v>
      </x:c>
      <x:c r="B4" s="14" t="str">
        <x:v>3.16 kgCO2e/L和0.5568 kgCO2e/kWh为SRC-004示例反推代理值；非正式因子，待核验。</x:v>
      </x:c>
    </x:row>
    <x:row r="5">
      <x:c r="A5" s="14" t="str">
        <x:v>数据状态</x:v>
      </x:c>
      <x:c r="B5" s="14" t="str">
        <x:v>所有当前示例行均为simulated；汇总状态写明simulated only。</x:v>
      </x:c>
    </x:row>
    <x:row r="6">
      <x:c r="A6" s="14" t="str">
        <x:v>四辆车数据</x:v>
      </x:c>
      <x:c r="B6" s="14" t="str">
        <x:v>仅保留暂不处理状态，不存放偏差数值，不参与主账或汇总。</x:v>
      </x:c>
    </x:row>
    <x:row r="7">
      <x:c r="A7" s="14" t="str">
        <x:v>正式账限制</x:v>
      </x:c>
      <x:c r="B7" s="14" t="str">
        <x:v>正式排放值需经核验的标准条款、因子、活动数据和负责人确认；本工作簿不得作为正式入账凭证。</x:v>
      </x:c>
    </x:row>
  </x:sheetData>
  <x:pageMargins left="0.7" right="0.7" top="0.75" bottom="0.75" header="0.3" footer="0.3"/>
  <x:tableParts count="1">
    <x:tablePart xmlns:r="http://schemas.openxmlformats.org/officeDocument/2006/relationships" r:id="Rf91f397155f04c9c"/>
  </x:tableParts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3" hidden="0" customWidth="1"/>
    <x:col min="4" max="4" width="18" hidden="0" customWidth="1"/>
    <x:col min="5" max="5" width="14" hidden="0" customWidth="1"/>
    <x:col min="6" max="6" width="14" hidden="0" customWidth="1"/>
    <x:col min="7" max="7" width="14" hidden="0" customWidth="1"/>
    <x:col min="8" max="8" width="18" hidden="0" customWidth="1"/>
    <x:col min="9" max="9" width="17" hidden="0" customWidth="1"/>
    <x:col min="10" max="10" width="20" hidden="0" customWidth="1"/>
    <x:col min="11" max="11" width="15" hidden="0" customWidth="1"/>
    <x:col min="12" max="12" width="20" hidden="0" customWidth="1"/>
    <x:col min="13" max="13" width="22" hidden="0" customWidth="1"/>
    <x:col min="14" max="14" width="22" hidden="0" customWidth="1"/>
    <x:col min="15" max="15" width="25" hidden="0" customWidth="1"/>
    <x:col min="16" max="16" width="27" hidden="0" customWidth="1"/>
    <x:col min="17" max="17" width="12" hidden="0" customWidth="1"/>
    <x:col min="18" max="18" width="48" hidden="0" customWidth="1"/>
  </x:cols>
  <x:sheetData>
    <x:row r="1" ht="32" customHeight="1">
      <x:c r="A1" s="26" t="str">
        <x:v>Test_ID</x:v>
      </x:c>
      <x:c r="B1" s="26" t="str">
        <x:v>Test_Group</x:v>
      </x:c>
      <x:c r="C1" s="26" t="str">
        <x:v>Scenario</x:v>
      </x:c>
      <x:c r="D1" s="26" t="str">
        <x:v>Ledger_Row_Key</x:v>
      </x:c>
      <x:c r="E1" s="26" t="str">
        <x:v>Activity_Value</x:v>
      </x:c>
      <x:c r="F1" s="26" t="str">
        <x:v>Activity_Unit</x:v>
      </x:c>
      <x:c r="G1" s="26" t="str">
        <x:v>EF_Value</x:v>
      </x:c>
      <x:c r="H1" s="26" t="str">
        <x:v>EF_Unit</x:v>
      </x:c>
      <x:c r="I1" s="26" t="str">
        <x:v>Trip_Total_kgCO2e</x:v>
      </x:c>
      <x:c r="J1" s="26" t="str">
        <x:v>Allocation_Group_ID</x:v>
      </x:c>
      <x:c r="K1" s="26" t="str">
        <x:v>Allocation_Share</x:v>
      </x:c>
      <x:c r="L1" s="26" t="str">
        <x:v>Expected_Output_kgCO2e</x:v>
      </x:c>
      <x:c r="M1" s="26" t="str">
        <x:v>Calculated_Output_kgCO2e</x:v>
      </x:c>
      <x:c r="N1" s="26" t="str">
        <x:v>Expected_Control</x:v>
      </x:c>
      <x:c r="O1" s="26" t="str">
        <x:v>Actual_Control</x:v>
      </x:c>
      <x:c r="P1" s="26" t="str">
        <x:v>Main_Ledger_Eligibility</x:v>
      </x:c>
      <x:c r="Q1" s="26" t="str">
        <x:v>Simulated</x:v>
      </x:c>
      <x:c r="R1" s="26" t="str">
        <x:v>Notes</x:v>
      </x:c>
    </x:row>
    <x:row r="2">
      <x:c r="A2" t="str">
        <x:v>TC-001</x:v>
      </x:c>
      <x:c r="B2" t="str">
        <x:v>A 柴油基础</x:v>
      </x:c>
      <x:c r="C2" t="str">
        <x:v>常规燃油65.5L</x:v>
      </x:c>
      <x:c r="D2" t="str">
        <x:v>TEST-001</x:v>
      </x:c>
      <x:c r="E2" s="27" t="n">
        <x:v>65.5</x:v>
      </x:c>
      <x:c r="F2" t="str">
        <x:v>L</x:v>
      </x:c>
      <x:c r="G2" s="28" t="n">
        <x:v>3.16</x:v>
      </x:c>
      <x:c r="H2" t="str">
        <x:v>kgCO2e/L</x:v>
      </x:c>
      <x:c r="I2" s="28"/>
      <x:c r="J2"/>
      <x:c r="K2" s="29"/>
      <x:c r="L2" s="30" t="n">
        <x:v>206.98</x:v>
      </x:c>
      <x:c r="M2" s="30" t="n">
        <x:f>IF(A2="","",IF(COUNTIF(Trip_Detail!$A$2:$A$101,D2)&gt;0,"",IF(J2&lt;&gt;"",I2*K2,IF(OR(COUNT(E2)=0,COUNT(G2)=0),"",IF(E2&lt;0,"",IF(OR(AND(F2="L",H2&lt;&gt;"kgCO2e/L"),AND(F2="kWh",H2&lt;&gt;"kgCO2e/kWh"),AND(F2="km",H2&lt;&gt;"kgCO2e/km"),AND(F2="t",H2&lt;&gt;"kgCO2e/t")),"",E2*G2))))))</x:f>
        <x:v>206.98000000000002</x:v>
      </x:c>
      <x:c r="N2" t="str">
        <x:v>PASS</x:v>
      </x:c>
      <x:c r="O2" t="str">
        <x:f>IF(A2="","",IF(COUNTIF(Trip_Detail!$A$2:$A$101,D2)&gt;0,"BLOCK_DUPLICATE_LEDGER_ID",IF(J2&lt;&gt;"",IF(ABS(SUMIF($J$2:$J$16,J2,$K$2:$K$16)-1)&gt;0.000001,"BLOCK_ALLOCATION_SUM","PASS_ALLOCATION"),IF(OR(COUNT(E2)=0,COUNT(G2)=0),"BLOCK_MISSING_REQUIRED",IF(E2&lt;0,"BLOCK_NEGATIVE_ACTIVITY",IF(OR(AND(F2="L",H2&lt;&gt;"kgCO2e/L"),AND(F2="kWh",H2&lt;&gt;"kgCO2e/kWh"),AND(F2="km",H2&lt;&gt;"kgCO2e/km"),AND(F2="t",H2&lt;&gt;"kgCO2e/t")),"BLOCK_UNIT_MISMATCH","PASS"))))))</x:f>
        <x:v>PASS</x:v>
      </x:c>
      <x:c r="P2" t="str">
        <x:v>N—仅测试案例，不进入主账</x:v>
      </x:c>
      <x:c r="Q2" t="str">
        <x:v>yes</x:v>
      </x:c>
      <x:c r="R2" t="str">
        <x:v>基准乘法与单位换算测试</x:v>
      </x:c>
    </x:row>
    <x:row r="3">
      <x:c r="A3" t="str">
        <x:v>TC-002</x:v>
      </x:c>
      <x:c r="B3" t="str">
        <x:v>A 柴油基础</x:v>
      </x:c>
      <x:c r="C3" t="str">
        <x:v>燃油80L</x:v>
      </x:c>
      <x:c r="D3" t="str">
        <x:v>TEST-002</x:v>
      </x:c>
      <x:c r="E3" s="27" t="n">
        <x:v>80</x:v>
      </x:c>
      <x:c r="F3" t="str">
        <x:v>L</x:v>
      </x:c>
      <x:c r="G3" s="28" t="n">
        <x:v>3.16</x:v>
      </x:c>
      <x:c r="H3" t="str">
        <x:v>kgCO2e/L</x:v>
      </x:c>
      <x:c r="I3" s="28"/>
      <x:c r="J3"/>
      <x:c r="K3" s="29"/>
      <x:c r="L3" s="30" t="n">
        <x:v>252.8</x:v>
      </x:c>
      <x:c r="M3" s="30" t="n">
        <x:f>IF(A3="","",IF(COUNTIF(Trip_Detail!$A$2:$A$101,D3)&gt;0,"",IF(J3&lt;&gt;"",I3*K3,IF(OR(COUNT(E3)=0,COUNT(G3)=0),"",IF(E3&lt;0,"",IF(OR(AND(F3="L",H3&lt;&gt;"kgCO2e/L"),AND(F3="kWh",H3&lt;&gt;"kgCO2e/kWh"),AND(F3="km",H3&lt;&gt;"kgCO2e/km"),AND(F3="t",H3&lt;&gt;"kgCO2e/t")),"",E3*G3))))))</x:f>
        <x:v>252.8</x:v>
      </x:c>
      <x:c r="N3" t="str">
        <x:v>PASS</x:v>
      </x:c>
      <x:c r="O3" t="str">
        <x:f>IF(A3="","",IF(COUNTIF(Trip_Detail!$A$2:$A$101,D3)&gt;0,"BLOCK_DUPLICATE_LEDGER_ID",IF(J3&lt;&gt;"",IF(ABS(SUMIF($J$2:$J$16,J3,$K$2:$K$16)-1)&gt;0.000001,"BLOCK_ALLOCATION_SUM","PASS_ALLOCATION"),IF(OR(COUNT(E3)=0,COUNT(G3)=0),"BLOCK_MISSING_REQUIRED",IF(E3&lt;0,"BLOCK_NEGATIVE_ACTIVITY",IF(OR(AND(F3="L",H3&lt;&gt;"kgCO2e/L"),AND(F3="kWh",H3&lt;&gt;"kgCO2e/kWh"),AND(F3="km",H3&lt;&gt;"kgCO2e/km"),AND(F3="t",H3&lt;&gt;"kgCO2e/t")),"BLOCK_UNIT_MISMATCH","PASS"))))))</x:f>
        <x:v>PASS</x:v>
      </x:c>
      <x:c r="P3" t="str">
        <x:v>N—仅测试案例，不进入主账</x:v>
      </x:c>
      <x:c r="Q3" t="str">
        <x:v>yes</x:v>
      </x:c>
      <x:c r="R3" t="str">
        <x:v>不同活动量测试</x:v>
      </x:c>
    </x:row>
    <x:row r="4">
      <x:c r="A4" t="str">
        <x:v>TC-003</x:v>
      </x:c>
      <x:c r="B4" t="str">
        <x:v>A 柴油基础</x:v>
      </x:c>
      <x:c r="C4" t="str">
        <x:v>燃油120.3L</x:v>
      </x:c>
      <x:c r="D4" t="str">
        <x:v>TEST-003</x:v>
      </x:c>
      <x:c r="E4" s="27" t="n">
        <x:v>120.3</x:v>
      </x:c>
      <x:c r="F4" t="str">
        <x:v>L</x:v>
      </x:c>
      <x:c r="G4" s="28" t="n">
        <x:v>3.16</x:v>
      </x:c>
      <x:c r="H4" t="str">
        <x:v>kgCO2e/L</x:v>
      </x:c>
      <x:c r="I4" s="28"/>
      <x:c r="J4"/>
      <x:c r="K4" s="29"/>
      <x:c r="L4" s="30" t="n">
        <x:v>380.148</x:v>
      </x:c>
      <x:c r="M4" s="30" t="n">
        <x:f>IF(A4="","",IF(COUNTIF(Trip_Detail!$A$2:$A$101,D4)&gt;0,"",IF(J4&lt;&gt;"",I4*K4,IF(OR(COUNT(E4)=0,COUNT(G4)=0),"",IF(E4&lt;0,"",IF(OR(AND(F4="L",H4&lt;&gt;"kgCO2e/L"),AND(F4="kWh",H4&lt;&gt;"kgCO2e/kWh"),AND(F4="km",H4&lt;&gt;"kgCO2e/km"),AND(F4="t",H4&lt;&gt;"kgCO2e/t")),"",E4*G4))))))</x:f>
        <x:v>380.148</x:v>
      </x:c>
      <x:c r="N4" t="str">
        <x:v>PASS</x:v>
      </x:c>
      <x:c r="O4" t="str">
        <x:f>IF(A4="","",IF(COUNTIF(Trip_Detail!$A$2:$A$101,D4)&gt;0,"BLOCK_DUPLICATE_LEDGER_ID",IF(J4&lt;&gt;"",IF(ABS(SUMIF($J$2:$J$16,J4,$K$2:$K$16)-1)&gt;0.000001,"BLOCK_ALLOCATION_SUM","PASS_ALLOCATION"),IF(OR(COUNT(E4)=0,COUNT(G4)=0),"BLOCK_MISSING_REQUIRED",IF(E4&lt;0,"BLOCK_NEGATIVE_ACTIVITY",IF(OR(AND(F4="L",H4&lt;&gt;"kgCO2e/L"),AND(F4="kWh",H4&lt;&gt;"kgCO2e/kWh"),AND(F4="km",H4&lt;&gt;"kgCO2e/km"),AND(F4="t",H4&lt;&gt;"kgCO2e/t")),"BLOCK_UNIT_MISMATCH","PASS"))))))</x:f>
        <x:v>PASS</x:v>
      </x:c>
      <x:c r="P4" t="str">
        <x:v>N—仅测试案例，不进入主账</x:v>
      </x:c>
      <x:c r="Q4" t="str">
        <x:v>yes</x:v>
      </x:c>
      <x:c r="R4" t="str">
        <x:v>小数活动量测试</x:v>
      </x:c>
    </x:row>
    <x:row r="5">
      <x:c r="A5" t="str">
        <x:v>TC-004</x:v>
      </x:c>
      <x:c r="B5" t="str">
        <x:v>B 电力消耗</x:v>
      </x:c>
      <x:c r="C5" t="str">
        <x:v>电力1000kWh</x:v>
      </x:c>
      <x:c r="D5" t="str">
        <x:v>TEST-004</x:v>
      </x:c>
      <x:c r="E5" s="27" t="n">
        <x:v>1000</x:v>
      </x:c>
      <x:c r="F5" t="str">
        <x:v>kWh</x:v>
      </x:c>
      <x:c r="G5" s="28" t="n">
        <x:v>0.5568</x:v>
      </x:c>
      <x:c r="H5" t="str">
        <x:v>kgCO2e/kWh</x:v>
      </x:c>
      <x:c r="I5" s="28"/>
      <x:c r="J5"/>
      <x:c r="K5" s="29"/>
      <x:c r="L5" s="30" t="n">
        <x:v>556.8</x:v>
      </x:c>
      <x:c r="M5" s="30" t="n">
        <x:f>IF(A5="","",IF(COUNTIF(Trip_Detail!$A$2:$A$101,D5)&gt;0,"",IF(J5&lt;&gt;"",I5*K5,IF(OR(COUNT(E5)=0,COUNT(G5)=0),"",IF(E5&lt;0,"",IF(OR(AND(F5="L",H5&lt;&gt;"kgCO2e/L"),AND(F5="kWh",H5&lt;&gt;"kgCO2e/kWh"),AND(F5="km",H5&lt;&gt;"kgCO2e/km"),AND(F5="t",H5&lt;&gt;"kgCO2e/t")),"",E5*G5))))))</x:f>
        <x:v>556.8</x:v>
      </x:c>
      <x:c r="N5" t="str">
        <x:v>PASS</x:v>
      </x:c>
      <x:c r="O5" t="str">
        <x:f>IF(A5="","",IF(COUNTIF(Trip_Detail!$A$2:$A$101,D5)&gt;0,"BLOCK_DUPLICATE_LEDGER_ID",IF(J5&lt;&gt;"",IF(ABS(SUMIF($J$2:$J$16,J5,$K$2:$K$16)-1)&gt;0.000001,"BLOCK_ALLOCATION_SUM","PASS_ALLOCATION"),IF(OR(COUNT(E5)=0,COUNT(G5)=0),"BLOCK_MISSING_REQUIRED",IF(E5&lt;0,"BLOCK_NEGATIVE_ACTIVITY",IF(OR(AND(F5="L",H5&lt;&gt;"kgCO2e/L"),AND(F5="kWh",H5&lt;&gt;"kgCO2e/kWh"),AND(F5="km",H5&lt;&gt;"kgCO2e/km"),AND(F5="t",H5&lt;&gt;"kgCO2e/t")),"BLOCK_UNIT_MISMATCH","PASS"))))))</x:f>
        <x:v>PASS</x:v>
      </x:c>
      <x:c r="P5" t="str">
        <x:v>N—仅测试案例，不进入主账</x:v>
      </x:c>
      <x:c r="Q5" t="str">
        <x:v>yes</x:v>
      </x:c>
      <x:c r="R5" t="str">
        <x:v>电力因子为代理值，仅测试</x:v>
      </x:c>
    </x:row>
    <x:row r="6">
      <x:c r="A6" t="str">
        <x:v>TC-005</x:v>
      </x:c>
      <x:c r="B6" t="str">
        <x:v>B 电力消耗</x:v>
      </x:c>
      <x:c r="C6" t="str">
        <x:v>电力150kWh</x:v>
      </x:c>
      <x:c r="D6" t="str">
        <x:v>TEST-005</x:v>
      </x:c>
      <x:c r="E6" s="27" t="n">
        <x:v>150</x:v>
      </x:c>
      <x:c r="F6" t="str">
        <x:v>kWh</x:v>
      </x:c>
      <x:c r="G6" s="28" t="n">
        <x:v>0.5568</x:v>
      </x:c>
      <x:c r="H6" t="str">
        <x:v>kgCO2e/kWh</x:v>
      </x:c>
      <x:c r="I6" s="28"/>
      <x:c r="J6"/>
      <x:c r="K6" s="29"/>
      <x:c r="L6" s="30" t="n">
        <x:v>83.52</x:v>
      </x:c>
      <x:c r="M6" s="30" t="n">
        <x:f>IF(A6="","",IF(COUNTIF(Trip_Detail!$A$2:$A$101,D6)&gt;0,"",IF(J6&lt;&gt;"",I6*K6,IF(OR(COUNT(E6)=0,COUNT(G6)=0),"",IF(E6&lt;0,"",IF(OR(AND(F6="L",H6&lt;&gt;"kgCO2e/L"),AND(F6="kWh",H6&lt;&gt;"kgCO2e/kWh"),AND(F6="km",H6&lt;&gt;"kgCO2e/km"),AND(F6="t",H6&lt;&gt;"kgCO2e/t")),"",E6*G6))))))</x:f>
        <x:v>83.52</x:v>
      </x:c>
      <x:c r="N6" t="str">
        <x:v>PASS</x:v>
      </x:c>
      <x:c r="O6" t="str">
        <x:f>IF(A6="","",IF(COUNTIF(Trip_Detail!$A$2:$A$101,D6)&gt;0,"BLOCK_DUPLICATE_LEDGER_ID",IF(J6&lt;&gt;"",IF(ABS(SUMIF($J$2:$J$16,J6,$K$2:$K$16)-1)&gt;0.000001,"BLOCK_ALLOCATION_SUM","PASS_ALLOCATION"),IF(OR(COUNT(E6)=0,COUNT(G6)=0),"BLOCK_MISSING_REQUIRED",IF(E6&lt;0,"BLOCK_NEGATIVE_ACTIVITY",IF(OR(AND(F6="L",H6&lt;&gt;"kgCO2e/L"),AND(F6="kWh",H6&lt;&gt;"kgCO2e/kWh"),AND(F6="km",H6&lt;&gt;"kgCO2e/km"),AND(F6="t",H6&lt;&gt;"kgCO2e/t")),"BLOCK_UNIT_MISMATCH","PASS"))))))</x:f>
        <x:v>PASS</x:v>
      </x:c>
      <x:c r="P6" t="str">
        <x:v>N—仅测试案例，不进入主账</x:v>
      </x:c>
      <x:c r="Q6" t="str">
        <x:v>yes</x:v>
      </x:c>
      <x:c r="R6" t="str">
        <x:v>不同电量测试</x:v>
      </x:c>
    </x:row>
    <x:row r="7">
      <x:c r="A7" t="str">
        <x:v>TC-006</x:v>
      </x:c>
      <x:c r="B7" t="str">
        <x:v>B 电力消耗</x:v>
      </x:c>
      <x:c r="C7" t="str">
        <x:v>电力零消耗</x:v>
      </x:c>
      <x:c r="D7" t="str">
        <x:v>TEST-006</x:v>
      </x:c>
      <x:c r="E7" s="27" t="n">
        <x:v>0</x:v>
      </x:c>
      <x:c r="F7" t="str">
        <x:v>kWh</x:v>
      </x:c>
      <x:c r="G7" s="28" t="n">
        <x:v>0.5568</x:v>
      </x:c>
      <x:c r="H7" t="str">
        <x:v>kgCO2e/kWh</x:v>
      </x:c>
      <x:c r="I7" s="28"/>
      <x:c r="J7"/>
      <x:c r="K7" s="29"/>
      <x:c r="L7" s="30" t="n">
        <x:v>0</x:v>
      </x:c>
      <x:c r="M7" s="30" t="n">
        <x:f>IF(A7="","",IF(COUNTIF(Trip_Detail!$A$2:$A$101,D7)&gt;0,"",IF(J7&lt;&gt;"",I7*K7,IF(OR(COUNT(E7)=0,COUNT(G7)=0),"",IF(E7&lt;0,"",IF(OR(AND(F7="L",H7&lt;&gt;"kgCO2e/L"),AND(F7="kWh",H7&lt;&gt;"kgCO2e/kWh"),AND(F7="km",H7&lt;&gt;"kgCO2e/km"),AND(F7="t",H7&lt;&gt;"kgCO2e/t")),"",E7*G7))))))</x:f>
        <x:v>0</x:v>
      </x:c>
      <x:c r="N7" t="str">
        <x:v>PASS</x:v>
      </x:c>
      <x:c r="O7" t="str">
        <x:f>IF(A7="","",IF(COUNTIF(Trip_Detail!$A$2:$A$101,D7)&gt;0,"BLOCK_DUPLICATE_LEDGER_ID",IF(J7&lt;&gt;"",IF(ABS(SUMIF($J$2:$J$16,J7,$K$2:$K$16)-1)&gt;0.000001,"BLOCK_ALLOCATION_SUM","PASS_ALLOCATION"),IF(OR(COUNT(E7)=0,COUNT(G7)=0),"BLOCK_MISSING_REQUIRED",IF(E7&lt;0,"BLOCK_NEGATIVE_ACTIVITY",IF(OR(AND(F7="L",H7&lt;&gt;"kgCO2e/L"),AND(F7="kWh",H7&lt;&gt;"kgCO2e/kWh"),AND(F7="km",H7&lt;&gt;"kgCO2e/km"),AND(F7="t",H7&lt;&gt;"kgCO2e/t")),"BLOCK_UNIT_MISMATCH","PASS"))))))</x:f>
        <x:v>PASS</x:v>
      </x:c>
      <x:c r="P7" t="str">
        <x:v>N—仅测试案例，不进入主账</x:v>
      </x:c>
      <x:c r="Q7" t="str">
        <x:v>yes</x:v>
      </x:c>
      <x:c r="R7" t="str">
        <x:v>零活动量应输出0，不应报缺失</x:v>
      </x:c>
    </x:row>
    <x:row r="8">
      <x:c r="A8" t="str">
        <x:v>TC-007</x:v>
      </x:c>
      <x:c r="B8" t="str">
        <x:v>C 边界精度</x:v>
      </x:c>
      <x:c r="C8" t="str">
        <x:v>柴油零消耗</x:v>
      </x:c>
      <x:c r="D8" t="str">
        <x:v>TEST-007</x:v>
      </x:c>
      <x:c r="E8" s="27" t="n">
        <x:v>0</x:v>
      </x:c>
      <x:c r="F8" t="str">
        <x:v>L</x:v>
      </x:c>
      <x:c r="G8" s="28" t="n">
        <x:v>3.16</x:v>
      </x:c>
      <x:c r="H8" t="str">
        <x:v>kgCO2e/L</x:v>
      </x:c>
      <x:c r="I8" s="28"/>
      <x:c r="J8"/>
      <x:c r="K8" s="29"/>
      <x:c r="L8" s="30" t="n">
        <x:v>0</x:v>
      </x:c>
      <x:c r="M8" s="30" t="n">
        <x:f>IF(A8="","",IF(COUNTIF(Trip_Detail!$A$2:$A$101,D8)&gt;0,"",IF(J8&lt;&gt;"",I8*K8,IF(OR(COUNT(E8)=0,COUNT(G8)=0),"",IF(E8&lt;0,"",IF(OR(AND(F8="L",H8&lt;&gt;"kgCO2e/L"),AND(F8="kWh",H8&lt;&gt;"kgCO2e/kWh"),AND(F8="km",H8&lt;&gt;"kgCO2e/km"),AND(F8="t",H8&lt;&gt;"kgCO2e/t")),"",E8*G8))))))</x:f>
        <x:v>0</x:v>
      </x:c>
      <x:c r="N8" t="str">
        <x:v>PASS</x:v>
      </x:c>
      <x:c r="O8" t="str">
        <x:f>IF(A8="","",IF(COUNTIF(Trip_Detail!$A$2:$A$101,D8)&gt;0,"BLOCK_DUPLICATE_LEDGER_ID",IF(J8&lt;&gt;"",IF(ABS(SUMIF($J$2:$J$16,J8,$K$2:$K$16)-1)&gt;0.000001,"BLOCK_ALLOCATION_SUM","PASS_ALLOCATION"),IF(OR(COUNT(E8)=0,COUNT(G8)=0),"BLOCK_MISSING_REQUIRED",IF(E8&lt;0,"BLOCK_NEGATIVE_ACTIVITY",IF(OR(AND(F8="L",H8&lt;&gt;"kgCO2e/L"),AND(F8="kWh",H8&lt;&gt;"kgCO2e/kWh"),AND(F8="km",H8&lt;&gt;"kgCO2e/km"),AND(F8="t",H8&lt;&gt;"kgCO2e/t")),"BLOCK_UNIT_MISMATCH","PASS"))))))</x:f>
        <x:v>PASS</x:v>
      </x:c>
      <x:c r="P8" t="str">
        <x:v>N—仅测试案例，不进入主账</x:v>
      </x:c>
      <x:c r="Q8" t="str">
        <x:v>yes</x:v>
      </x:c>
      <x:c r="R8" t="str">
        <x:v>零值边界测试</x:v>
      </x:c>
    </x:row>
    <x:row r="9">
      <x:c r="A9" t="str">
        <x:v>TC-008</x:v>
      </x:c>
      <x:c r="B9" t="str">
        <x:v>C 边界精度</x:v>
      </x:c>
      <x:c r="C9" t="str">
        <x:v>大活动量10000L</x:v>
      </x:c>
      <x:c r="D9" t="str">
        <x:v>TEST-008</x:v>
      </x:c>
      <x:c r="E9" s="27" t="n">
        <x:v>10000</x:v>
      </x:c>
      <x:c r="F9" t="str">
        <x:v>L</x:v>
      </x:c>
      <x:c r="G9" s="28" t="n">
        <x:v>3.16</x:v>
      </x:c>
      <x:c r="H9" t="str">
        <x:v>kgCO2e/L</x:v>
      </x:c>
      <x:c r="I9" s="28"/>
      <x:c r="J9"/>
      <x:c r="K9" s="29"/>
      <x:c r="L9" s="30" t="n">
        <x:v>31600</x:v>
      </x:c>
      <x:c r="M9" s="30" t="n">
        <x:f>IF(A9="","",IF(COUNTIF(Trip_Detail!$A$2:$A$101,D9)&gt;0,"",IF(J9&lt;&gt;"",I9*K9,IF(OR(COUNT(E9)=0,COUNT(G9)=0),"",IF(E9&lt;0,"",IF(OR(AND(F9="L",H9&lt;&gt;"kgCO2e/L"),AND(F9="kWh",H9&lt;&gt;"kgCO2e/kWh"),AND(F9="km",H9&lt;&gt;"kgCO2e/km"),AND(F9="t",H9&lt;&gt;"kgCO2e/t")),"",E9*G9))))))</x:f>
        <x:v>31600</x:v>
      </x:c>
      <x:c r="N9" t="str">
        <x:v>PASS</x:v>
      </x:c>
      <x:c r="O9" t="str">
        <x:f>IF(A9="","",IF(COUNTIF(Trip_Detail!$A$2:$A$101,D9)&gt;0,"BLOCK_DUPLICATE_LEDGER_ID",IF(J9&lt;&gt;"",IF(ABS(SUMIF($J$2:$J$16,J9,$K$2:$K$16)-1)&gt;0.000001,"BLOCK_ALLOCATION_SUM","PASS_ALLOCATION"),IF(OR(COUNT(E9)=0,COUNT(G9)=0),"BLOCK_MISSING_REQUIRED",IF(E9&lt;0,"BLOCK_NEGATIVE_ACTIVITY",IF(OR(AND(F9="L",H9&lt;&gt;"kgCO2e/L"),AND(F9="kWh",H9&lt;&gt;"kgCO2e/kWh"),AND(F9="km",H9&lt;&gt;"kgCO2e/km"),AND(F9="t",H9&lt;&gt;"kgCO2e/t")),"BLOCK_UNIT_MISMATCH","PASS"))))))</x:f>
        <x:v>PASS</x:v>
      </x:c>
      <x:c r="P9" t="str">
        <x:v>N—仅测试案例，不进入主账</x:v>
      </x:c>
      <x:c r="Q9" t="str">
        <x:v>yes</x:v>
      </x:c>
      <x:c r="R9" t="str">
        <x:v>大数值与数值格式测试</x:v>
      </x:c>
    </x:row>
    <x:row r="10">
      <x:c r="A10" t="str">
        <x:v>TC-009</x:v>
      </x:c>
      <x:c r="B10" t="str">
        <x:v>C 边界精度</x:v>
      </x:c>
      <x:c r="C10" t="str">
        <x:v>小数活动量0.123L</x:v>
      </x:c>
      <x:c r="D10" t="str">
        <x:v>TEST-009</x:v>
      </x:c>
      <x:c r="E10" s="27" t="n">
        <x:v>0.123</x:v>
      </x:c>
      <x:c r="F10" t="str">
        <x:v>L</x:v>
      </x:c>
      <x:c r="G10" s="28" t="n">
        <x:v>3.16</x:v>
      </x:c>
      <x:c r="H10" t="str">
        <x:v>kgCO2e/L</x:v>
      </x:c>
      <x:c r="I10" s="28"/>
      <x:c r="J10"/>
      <x:c r="K10" s="29"/>
      <x:c r="L10" s="30" t="n">
        <x:v>0.38868</x:v>
      </x:c>
      <x:c r="M10" s="30" t="n">
        <x:f>IF(A10="","",IF(COUNTIF(Trip_Detail!$A$2:$A$101,D10)&gt;0,"",IF(J10&lt;&gt;"",I10*K10,IF(OR(COUNT(E10)=0,COUNT(G10)=0),"",IF(E10&lt;0,"",IF(OR(AND(F10="L",H10&lt;&gt;"kgCO2e/L"),AND(F10="kWh",H10&lt;&gt;"kgCO2e/kWh"),AND(F10="km",H10&lt;&gt;"kgCO2e/km"),AND(F10="t",H10&lt;&gt;"kgCO2e/t")),"",E10*G10))))))</x:f>
        <x:v>0.38868</x:v>
      </x:c>
      <x:c r="N10" t="str">
        <x:v>PASS</x:v>
      </x:c>
      <x:c r="O10" t="str">
        <x:f>IF(A10="","",IF(COUNTIF(Trip_Detail!$A$2:$A$101,D10)&gt;0,"BLOCK_DUPLICATE_LEDGER_ID",IF(J10&lt;&gt;"",IF(ABS(SUMIF($J$2:$J$16,J10,$K$2:$K$16)-1)&gt;0.000001,"BLOCK_ALLOCATION_SUM","PASS_ALLOCATION"),IF(OR(COUNT(E10)=0,COUNT(G10)=0),"BLOCK_MISSING_REQUIRED",IF(E10&lt;0,"BLOCK_NEGATIVE_ACTIVITY",IF(OR(AND(F10="L",H10&lt;&gt;"kgCO2e/L"),AND(F10="kWh",H10&lt;&gt;"kgCO2e/kWh"),AND(F10="km",H10&lt;&gt;"kgCO2e/km"),AND(F10="t",H10&lt;&gt;"kgCO2e/t")),"BLOCK_UNIT_MISMATCH","PASS"))))))</x:f>
        <x:v>PASS</x:v>
      </x:c>
      <x:c r="P10" t="str">
        <x:v>N—仅测试案例，不进入主账</x:v>
      </x:c>
      <x:c r="Q10" t="str">
        <x:v>yes</x:v>
      </x:c>
      <x:c r="R10" t="str">
        <x:v>精度与舍入测试</x:v>
      </x:c>
    </x:row>
    <x:row r="11">
      <x:c r="A11" t="str">
        <x:v>TC-010</x:v>
      </x:c>
      <x:c r="B11" t="str">
        <x:v>D 异常输入</x:v>
      </x:c>
      <x:c r="C11" t="str">
        <x:v>排放因子缺失</x:v>
      </x:c>
      <x:c r="D11" t="str">
        <x:v>TEST-010</x:v>
      </x:c>
      <x:c r="E11" s="27" t="n">
        <x:v>50</x:v>
      </x:c>
      <x:c r="F11" t="str">
        <x:v>L</x:v>
      </x:c>
      <x:c r="G11" s="28"/>
      <x:c r="H11" t="str">
        <x:v>kgCO2e/L</x:v>
      </x:c>
      <x:c r="I11" s="28"/>
      <x:c r="J11"/>
      <x:c r="K11" s="29"/>
      <x:c r="L11" s="30"/>
      <x:c r="M11" s="30" t="str">
        <x:f>IF(A11="","",IF(COUNTIF(Trip_Detail!$A$2:$A$101,D11)&gt;0,"",IF(J11&lt;&gt;"",I11*K11,IF(OR(COUNT(E11)=0,COUNT(G11)=0),"",IF(E11&lt;0,"",IF(OR(AND(F11="L",H11&lt;&gt;"kgCO2e/L"),AND(F11="kWh",H11&lt;&gt;"kgCO2e/kWh"),AND(F11="km",H11&lt;&gt;"kgCO2e/km"),AND(F11="t",H11&lt;&gt;"kgCO2e/t")),"",E11*G11))))))</x:f>
      </x:c>
      <x:c r="N11" t="str">
        <x:v>BLOCK_MISSING_REQUIRED</x:v>
      </x:c>
      <x:c r="O11" t="str">
        <x:f>IF(A11="","",IF(COUNTIF(Trip_Detail!$A$2:$A$101,D11)&gt;0,"BLOCK_DUPLICATE_LEDGER_ID",IF(J11&lt;&gt;"",IF(ABS(SUMIF($J$2:$J$16,J11,$K$2:$K$16)-1)&gt;0.000001,"BLOCK_ALLOCATION_SUM","PASS_ALLOCATION"),IF(OR(COUNT(E11)=0,COUNT(G11)=0),"BLOCK_MISSING_REQUIRED",IF(E11&lt;0,"BLOCK_NEGATIVE_ACTIVITY",IF(OR(AND(F11="L",H11&lt;&gt;"kgCO2e/L"),AND(F11="kWh",H11&lt;&gt;"kgCO2e/kWh"),AND(F11="km",H11&lt;&gt;"kgCO2e/km"),AND(F11="t",H11&lt;&gt;"kgCO2e/t")),"BLOCK_UNIT_MISMATCH","PASS"))))))</x:f>
        <x:v>BLOCK_MISSING_REQUIRED</x:v>
      </x:c>
      <x:c r="P11" t="str">
        <x:v>N—仅测试案例，不进入主账</x:v>
      </x:c>
      <x:c r="Q11" t="str">
        <x:v>yes</x:v>
      </x:c>
      <x:c r="R11" t="str">
        <x:v>缺失因子必须阻断，不能输出排放量</x:v>
      </x:c>
    </x:row>
    <x:row r="12">
      <x:c r="A12" t="str">
        <x:v>TC-011</x:v>
      </x:c>
      <x:c r="B12" t="str">
        <x:v>D 异常输入</x:v>
      </x:c>
      <x:c r="C12" t="str">
        <x:v>负活动量-8L</x:v>
      </x:c>
      <x:c r="D12" t="str">
        <x:v>TEST-011</x:v>
      </x:c>
      <x:c r="E12" s="27" t="n">
        <x:v>-8</x:v>
      </x:c>
      <x:c r="F12" t="str">
        <x:v>L</x:v>
      </x:c>
      <x:c r="G12" s="28" t="n">
        <x:v>3.16</x:v>
      </x:c>
      <x:c r="H12" t="str">
        <x:v>kgCO2e/L</x:v>
      </x:c>
      <x:c r="I12" s="28"/>
      <x:c r="J12"/>
      <x:c r="K12" s="29"/>
      <x:c r="L12" s="30"/>
      <x:c r="M12" s="30" t="str">
        <x:f>IF(A12="","",IF(COUNTIF(Trip_Detail!$A$2:$A$101,D12)&gt;0,"",IF(J12&lt;&gt;"",I12*K12,IF(OR(COUNT(E12)=0,COUNT(G12)=0),"",IF(E12&lt;0,"",IF(OR(AND(F12="L",H12&lt;&gt;"kgCO2e/L"),AND(F12="kWh",H12&lt;&gt;"kgCO2e/kWh"),AND(F12="km",H12&lt;&gt;"kgCO2e/km"),AND(F12="t",H12&lt;&gt;"kgCO2e/t")),"",E12*G12))))))</x:f>
      </x:c>
      <x:c r="N12" t="str">
        <x:v>BLOCK_NEGATIVE_ACTIVITY</x:v>
      </x:c>
      <x:c r="O12" t="str">
        <x:f>IF(A12="","",IF(COUNTIF(Trip_Detail!$A$2:$A$101,D12)&gt;0,"BLOCK_DUPLICATE_LEDGER_ID",IF(J12&lt;&gt;"",IF(ABS(SUMIF($J$2:$J$16,J12,$K$2:$K$16)-1)&gt;0.000001,"BLOCK_ALLOCATION_SUM","PASS_ALLOCATION"),IF(OR(COUNT(E12)=0,COUNT(G12)=0),"BLOCK_MISSING_REQUIRED",IF(E12&lt;0,"BLOCK_NEGATIVE_ACTIVITY",IF(OR(AND(F12="L",H12&lt;&gt;"kgCO2e/L"),AND(F12="kWh",H12&lt;&gt;"kgCO2e/kWh"),AND(F12="km",H12&lt;&gt;"kgCO2e/km"),AND(F12="t",H12&lt;&gt;"kgCO2e/t")),"BLOCK_UNIT_MISMATCH","PASS"))))))</x:f>
        <x:v>BLOCK_NEGATIVE_ACTIVITY</x:v>
      </x:c>
      <x:c r="P12" t="str">
        <x:v>N—仅测试案例，不进入主账</x:v>
      </x:c>
      <x:c r="Q12" t="str">
        <x:v>yes</x:v>
      </x:c>
      <x:c r="R12" t="str">
        <x:v>负值应阻断；不得把-25.28kg用于汇总</x:v>
      </x:c>
    </x:row>
    <x:row r="13">
      <x:c r="A13" t="str">
        <x:v>TC-012</x:v>
      </x:c>
      <x:c r="B13" t="str">
        <x:v>D 异常输入</x:v>
      </x:c>
      <x:c r="C13" t="str">
        <x:v>单位不匹配</x:v>
      </x:c>
      <x:c r="D13" t="str">
        <x:v>TEST-012</x:v>
      </x:c>
      <x:c r="E13" s="27" t="n">
        <x:v>100</x:v>
      </x:c>
      <x:c r="F13" t="str">
        <x:v>L</x:v>
      </x:c>
      <x:c r="G13" s="28" t="n">
        <x:v>0.5568</x:v>
      </x:c>
      <x:c r="H13" t="str">
        <x:v>kgCO2e/kWh</x:v>
      </x:c>
      <x:c r="I13" s="28"/>
      <x:c r="J13"/>
      <x:c r="K13" s="29"/>
      <x:c r="L13" s="30"/>
      <x:c r="M13" s="30" t="str">
        <x:f>IF(A13="","",IF(COUNTIF(Trip_Detail!$A$2:$A$101,D13)&gt;0,"",IF(J13&lt;&gt;"",I13*K13,IF(OR(COUNT(E13)=0,COUNT(G13)=0),"",IF(E13&lt;0,"",IF(OR(AND(F13="L",H13&lt;&gt;"kgCO2e/L"),AND(F13="kWh",H13&lt;&gt;"kgCO2e/kWh"),AND(F13="km",H13&lt;&gt;"kgCO2e/km"),AND(F13="t",H13&lt;&gt;"kgCO2e/t")),"",E13*G13))))))</x:f>
      </x:c>
      <x:c r="N13" t="str">
        <x:v>BLOCK_UNIT_MISMATCH</x:v>
      </x:c>
      <x:c r="O13" t="str">
        <x:f>IF(A13="","",IF(COUNTIF(Trip_Detail!$A$2:$A$101,D13)&gt;0,"BLOCK_DUPLICATE_LEDGER_ID",IF(J13&lt;&gt;"",IF(ABS(SUMIF($J$2:$J$16,J13,$K$2:$K$16)-1)&gt;0.000001,"BLOCK_ALLOCATION_SUM","PASS_ALLOCATION"),IF(OR(COUNT(E13)=0,COUNT(G13)=0),"BLOCK_MISSING_REQUIRED",IF(E13&lt;0,"BLOCK_NEGATIVE_ACTIVITY",IF(OR(AND(F13="L",H13&lt;&gt;"kgCO2e/L"),AND(F13="kWh",H13&lt;&gt;"kgCO2e/kWh"),AND(F13="km",H13&lt;&gt;"kgCO2e/km"),AND(F13="t",H13&lt;&gt;"kgCO2e/t")),"BLOCK_UNIT_MISMATCH","PASS"))))))</x:f>
        <x:v>BLOCK_UNIT_MISMATCH</x:v>
      </x:c>
      <x:c r="P13" t="str">
        <x:v>N—仅测试案例，不进入主账</x:v>
      </x:c>
      <x:c r="Q13" t="str">
        <x:v>yes</x:v>
      </x:c>
      <x:c r="R13" t="str">
        <x:v>活动单位L与因子单位/kWh不匹配</x:v>
      </x:c>
    </x:row>
    <x:row r="14">
      <x:c r="A14" t="str">
        <x:v>TC-013</x:v>
      </x:c>
      <x:c r="B14" t="str">
        <x:v>E 重复与分摊</x:v>
      </x:c>
      <x:c r="C14" t="str">
        <x:v>同一趟次运单A分摊40%</x:v>
      </x:c>
      <x:c r="D14" t="str">
        <x:v>ALLOC-A-001</x:v>
      </x:c>
      <x:c r="E14" s="27"/>
      <x:c r="F14"/>
      <x:c r="G14" s="28"/>
      <x:c r="H14"/>
      <x:c r="I14" s="28" t="n">
        <x:v>100</x:v>
      </x:c>
      <x:c r="J14" t="str">
        <x:v>ALLOC-TRIP-001</x:v>
      </x:c>
      <x:c r="K14" s="29" t="n">
        <x:v>0.4</x:v>
      </x:c>
      <x:c r="L14" s="30" t="n">
        <x:v>40</x:v>
      </x:c>
      <x:c r="M14" s="30" t="n">
        <x:f>IF(A14="","",IF(COUNTIF(Trip_Detail!$A$2:$A$101,D14)&gt;0,"",IF(J14&lt;&gt;"",I14*K14,IF(OR(COUNT(E14)=0,COUNT(G14)=0),"",IF(E14&lt;0,"",IF(OR(AND(F14="L",H14&lt;&gt;"kgCO2e/L"),AND(F14="kWh",H14&lt;&gt;"kgCO2e/kWh"),AND(F14="km",H14&lt;&gt;"kgCO2e/km"),AND(F14="t",H14&lt;&gt;"kgCO2e/t")),"",E14*G14))))))</x:f>
        <x:v>40</x:v>
      </x:c>
      <x:c r="N14" t="str">
        <x:v>PASS_ALLOCATION</x:v>
      </x:c>
      <x:c r="O14" t="str">
        <x:f>IF(A14="","",IF(COUNTIF(Trip_Detail!$A$2:$A$101,D14)&gt;0,"BLOCK_DUPLICATE_LEDGER_ID",IF(J14&lt;&gt;"",IF(ABS(SUMIF($J$2:$J$16,J14,$K$2:$K$16)-1)&gt;0.000001,"BLOCK_ALLOCATION_SUM","PASS_ALLOCATION"),IF(OR(COUNT(E14)=0,COUNT(G14)=0),"BLOCK_MISSING_REQUIRED",IF(E14&lt;0,"BLOCK_NEGATIVE_ACTIVITY",IF(OR(AND(F14="L",H14&lt;&gt;"kgCO2e/L"),AND(F14="kWh",H14&lt;&gt;"kgCO2e/kWh"),AND(F14="km",H14&lt;&gt;"kgCO2e/km"),AND(F14="t",H14&lt;&gt;"kgCO2e/t")),"BLOCK_UNIT_MISMATCH","PASS"))))))</x:f>
        <x:v>PASS_ALLOCATION</x:v>
      </x:c>
      <x:c r="P14" t="str">
        <x:v>N—仅测试案例，不进入主账</x:v>
      </x:c>
      <x:c r="Q14" t="str">
        <x:v>yes</x:v>
      </x:c>
      <x:c r="R14" t="str">
        <x:v>分摊总量100kg，运单A分配40%</x:v>
      </x:c>
    </x:row>
    <x:row r="15">
      <x:c r="A15" t="str">
        <x:v>TC-014</x:v>
      </x:c>
      <x:c r="B15" t="str">
        <x:v>E 重复与分摊</x:v>
      </x:c>
      <x:c r="C15" t="str">
        <x:v>同一趟次运单B分摊60%</x:v>
      </x:c>
      <x:c r="D15" t="str">
        <x:v>ALLOC-B-001</x:v>
      </x:c>
      <x:c r="E15" s="27"/>
      <x:c r="F15"/>
      <x:c r="G15" s="28"/>
      <x:c r="H15"/>
      <x:c r="I15" s="28" t="n">
        <x:v>100</x:v>
      </x:c>
      <x:c r="J15" t="str">
        <x:v>ALLOC-TRIP-001</x:v>
      </x:c>
      <x:c r="K15" s="29" t="n">
        <x:v>0.6</x:v>
      </x:c>
      <x:c r="L15" s="30" t="n">
        <x:v>60</x:v>
      </x:c>
      <x:c r="M15" s="30" t="n">
        <x:f>IF(A15="","",IF(COUNTIF(Trip_Detail!$A$2:$A$101,D15)&gt;0,"",IF(J15&lt;&gt;"",I15*K15,IF(OR(COUNT(E15)=0,COUNT(G15)=0),"",IF(E15&lt;0,"",IF(OR(AND(F15="L",H15&lt;&gt;"kgCO2e/L"),AND(F15="kWh",H15&lt;&gt;"kgCO2e/kWh"),AND(F15="km",H15&lt;&gt;"kgCO2e/km"),AND(F15="t",H15&lt;&gt;"kgCO2e/t")),"",E15*G15))))))</x:f>
        <x:v>60</x:v>
      </x:c>
      <x:c r="N15" t="str">
        <x:v>PASS_ALLOCATION</x:v>
      </x:c>
      <x:c r="O15" t="str">
        <x:f>IF(A15="","",IF(COUNTIF(Trip_Detail!$A$2:$A$101,D15)&gt;0,"BLOCK_DUPLICATE_LEDGER_ID",IF(J15&lt;&gt;"",IF(ABS(SUMIF($J$2:$J$16,J15,$K$2:$K$16)-1)&gt;0.000001,"BLOCK_ALLOCATION_SUM","PASS_ALLOCATION"),IF(OR(COUNT(E15)=0,COUNT(G15)=0),"BLOCK_MISSING_REQUIRED",IF(E15&lt;0,"BLOCK_NEGATIVE_ACTIVITY",IF(OR(AND(F15="L",H15&lt;&gt;"kgCO2e/L"),AND(F15="kWh",H15&lt;&gt;"kgCO2e/kWh"),AND(F15="km",H15&lt;&gt;"kgCO2e/km"),AND(F15="t",H15&lt;&gt;"kgCO2e/t")),"BLOCK_UNIT_MISMATCH","PASS"))))))</x:f>
        <x:v>PASS_ALLOCATION</x:v>
      </x:c>
      <x:c r="P15" t="str">
        <x:v>N—仅测试案例，不进入主账</x:v>
      </x:c>
      <x:c r="Q15" t="str">
        <x:v>yes</x:v>
      </x:c>
      <x:c r="R15" t="str">
        <x:v>A+B分摊比例合计必须为100%</x:v>
      </x:c>
    </x:row>
    <x:row r="16">
      <x:c r="A16" t="str">
        <x:v>TC-015</x:v>
      </x:c>
      <x:c r="B16" t="str">
        <x:v>E 重复与分摊</x:v>
      </x:c>
      <x:c r="C16" t="str">
        <x:v>与主账重复的台账行ID</x:v>
      </x:c>
      <x:c r="D16" t="str">
        <x:v>LR-SIM-0001</x:v>
      </x:c>
      <x:c r="E16" s="27" t="n">
        <x:v>25</x:v>
      </x:c>
      <x:c r="F16" t="str">
        <x:v>L</x:v>
      </x:c>
      <x:c r="G16" s="28" t="n">
        <x:v>3.16</x:v>
      </x:c>
      <x:c r="H16" t="str">
        <x:v>kgCO2e/L</x:v>
      </x:c>
      <x:c r="I16" s="28"/>
      <x:c r="J16"/>
      <x:c r="K16" s="29"/>
      <x:c r="L16" s="30"/>
      <x:c r="M16" s="30" t="str">
        <x:f>IF(A16="","",IF(COUNTIF(Trip_Detail!$A$2:$A$101,D16)&gt;0,"",IF(J16&lt;&gt;"",I16*K16,IF(OR(COUNT(E16)=0,COUNT(G16)=0),"",IF(E16&lt;0,"",IF(OR(AND(F16="L",H16&lt;&gt;"kgCO2e/L"),AND(F16="kWh",H16&lt;&gt;"kgCO2e/kWh"),AND(F16="km",H16&lt;&gt;"kgCO2e/km"),AND(F16="t",H16&lt;&gt;"kgCO2e/t")),"",E16*G16))))))</x:f>
      </x:c>
      <x:c r="N16" t="str">
        <x:v>BLOCK_DUPLICATE_LEDGER_ID</x:v>
      </x:c>
      <x:c r="O16" t="str">
        <x:f>IF(A16="","",IF(COUNTIF(Trip_Detail!$A$2:$A$101,D16)&gt;0,"BLOCK_DUPLICATE_LEDGER_ID",IF(J16&lt;&gt;"",IF(ABS(SUMIF($J$2:$J$16,J16,$K$2:$K$16)-1)&gt;0.000001,"BLOCK_ALLOCATION_SUM","PASS_ALLOCATION"),IF(OR(COUNT(E16)=0,COUNT(G16)=0),"BLOCK_MISSING_REQUIRED",IF(E16&lt;0,"BLOCK_NEGATIVE_ACTIVITY",IF(OR(AND(F16="L",H16&lt;&gt;"kgCO2e/L"),AND(F16="kWh",H16&lt;&gt;"kgCO2e/kWh"),AND(F16="km",H16&lt;&gt;"kgCO2e/km"),AND(F16="t",H16&lt;&gt;"kgCO2e/t")),"BLOCK_UNIT_MISMATCH","PASS"))))))</x:f>
        <x:v>BLOCK_DUPLICATE_LEDGER_ID</x:v>
      </x:c>
      <x:c r="P16" t="str">
        <x:v>N—仅测试案例，不进入主账</x:v>
      </x:c>
      <x:c r="Q16" t="str">
        <x:v>yes</x:v>
      </x:c>
      <x:c r="R16" t="str">
        <x:v>检测测试案例是否重复使用主账已有ID</x:v>
      </x:c>
    </x:row>
  </x:sheetData>
  <x:conditionalFormatting sqref="O2:O16">
    <x:cfRule type="expression" dxfId="1" priority="1">
      <x:formula>LEFT(O2,5)="BLOCK"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4" hidden="0" customWidth="1"/>
    <x:col min="3" max="3" width="45" hidden="0" customWidth="1"/>
    <x:col min="4" max="4" width="47" hidden="0" customWidth="1"/>
    <x:col min="5" max="5" width="36" hidden="0" customWidth="1"/>
    <x:col min="6" max="6" width="42" hidden="0" customWidth="1"/>
  </x:cols>
  <x:sheetData>
    <x:row r="1" ht="26" customHeight="1">
      <x:c r="A1" s="34" t="str">
        <x:v>Rule_ID</x:v>
      </x:c>
      <x:c r="B1" s="34" t="str">
        <x:v>Control</x:v>
      </x:c>
      <x:c r="C1" s="34" t="str">
        <x:v>Trigger/Logic</x:v>
      </x:c>
      <x:c r="D1" s="34" t="str">
        <x:v>Action</x:v>
      </x:c>
      <x:c r="E1" s="34" t="str">
        <x:v>Summary treatment</x:v>
      </x:c>
      <x:c r="F1" s="34" t="str">
        <x:v>State</x:v>
      </x:c>
    </x:row>
    <x:row r="2">
      <x:c r="A2" t="str">
        <x:v>CTRL-01</x:v>
      </x:c>
      <x:c r="B2" t="str">
        <x:v>Required fields</x:v>
      </x:c>
      <x:c r="C2" t="str">
        <x:v>Activity value/unit and EF value/unit plus Trip_ID, vehicle/date, activity type, distance/cargo, evidence ID, run_id and source ledger row must be present</x:v>
      </x:c>
      <x:c r="D2" t="str">
        <x:v>Block calculation; emit no numeric result</x:v>
      </x:c>
      <x:c r="E2" t="str">
        <x:v>Excluded until corrected</x:v>
      </x:c>
      <x:c r="F2" t="str">
        <x:v>Implemented in AJ/AK; missing physical identity/evidence fields are blocked</x:v>
      </x:c>
    </x:row>
    <x:row r="3">
      <x:c r="A3" t="str">
        <x:v>CTRL-02</x:v>
      </x:c>
      <x:c r="B3" t="str">
        <x:v>Negative activity</x:v>
      </x:c>
      <x:c r="C3" t="str">
        <x:v>Activity_Value &lt; 0</x:v>
      </x:c>
      <x:c r="D3" t="str">
        <x:v>Block calculation and flag for review</x:v>
      </x:c>
      <x:c r="E3" t="str">
        <x:v>Excluded until corrected</x:v>
      </x:c>
      <x:c r="F3" t="str">
        <x:v>Implemented in AJ/AK and Test_Cases</x:v>
      </x:c>
    </x:row>
    <x:row r="4">
      <x:c r="A4" t="str">
        <x:v>CTRL-03</x:v>
      </x:c>
      <x:c r="B4" t="str">
        <x:v>Unit mismatch</x:v>
      </x:c>
      <x:c r="C4" t="str">
        <x:v>Activity unit denominator does not match EF unit</x:v>
      </x:c>
      <x:c r="D4" t="str">
        <x:v>Block calculation</x:v>
      </x:c>
      <x:c r="E4" t="str">
        <x:v>Excluded until corrected</x:v>
      </x:c>
      <x:c r="F4" t="str">
        <x:v>Implemented in AJ/AK and Test_Cases</x:v>
      </x:c>
    </x:row>
    <x:row r="5">
      <x:c r="A5" t="str">
        <x:v>CTRL-04</x:v>
      </x:c>
      <x:c r="B5" t="str">
        <x:v>Duplicate ledger ID</x:v>
      </x:c>
      <x:c r="C5" t="str">
        <x:v>Ledger_Row_ID appears more than once</x:v>
      </x:c>
      <x:c r="D5" t="str">
        <x:v>Block/flag duplicate row</x:v>
      </x:c>
      <x:c r="E5" t="str">
        <x:v>Do not sum duplicate</x:v>
      </x:c>
      <x:c r="F5" t="str">
        <x:v>Implemented in AJ/AK and Test_Cases</x:v>
      </x:c>
    </x:row>
    <x:row r="6">
      <x:c r="A6" t="str">
        <x:v>CTRL-05</x:v>
      </x:c>
      <x:c r="B6" t="str">
        <x:v>Formal use gate</x:v>
      </x:c>
      <x:c r="C6" t="str">
        <x:v>Simulated flag or proxy factor status or missing evidence identifiers</x:v>
      </x:c>
      <x:c r="D6" t="str">
        <x:v>NOT_FORMAL_USE</x:v>
      </x:c>
      <x:c r="E6" t="str">
        <x:v>Never formal reporting</x:v>
      </x:c>
      <x:c r="F6" t="str">
        <x:v>Implemented in AL</x:v>
      </x:c>
    </x:row>
    <x:row r="7">
      <x:c r="A7" t="str">
        <x:v>CTRL-06</x:v>
      </x:c>
      <x:c r="B7" t="str">
        <x:v>Waybill allocation sum</x:v>
      </x:c>
      <x:c r="C7" t="str">
        <x:v>Shares for a Trip_ID sum to 1 ± 0.000001</x:v>
      </x:c>
      <x:c r="D7" t="str">
        <x:v>Pass only if share sum=1; otherwise block</x:v>
      </x:c>
      <x:c r="E7" t="str">
        <x:v>Mapping view only; Trip_Detail remains sole sum source</x:v>
      </x:c>
      <x:c r="F7" t="str">
        <x:v>Implemented in Waybill_Detail P</x:v>
      </x:c>
    </x:row>
    <x:row r="8">
      <x:c r="A8" t="str">
        <x:v>CTRL-07</x:v>
      </x:c>
      <x:c r="B8" t="str">
        <x:v>No duplicate aggregation</x:v>
      </x:c>
      <x:c r="C8" t="str">
        <x:v>Segment_Detail/Waybill_Detail reference Trip_Detail, do not add into total</x:v>
      </x:c>
      <x:c r="D8" t="str">
        <x:v>Use Trip_Detail only</x:v>
      </x:c>
      <x:c r="E8" t="str">
        <x:v>Avoid double count</x:v>
      </x:c>
      <x:c r="F8" t="str">
        <x:v>Documented and tested</x:v>
      </x:c>
    </x:row>
    <x:row r="9">
      <x:c r="A9" t="str">
        <x:v>CTRL-08</x:v>
      </x:c>
      <x:c r="B9" t="str">
        <x:v>Four vehicle deviation sample</x:v>
      </x:c>
      <x:c r="C9" t="str">
        <x:v>Historical sample specified by lead is deferred</x:v>
      </x:c>
      <x:c r="D9" t="str">
        <x:v>No computation, no inclusion</x:v>
      </x:c>
      <x:c r="E9" t="str">
        <x:v>Separate pending status only</x:v>
      </x:c>
      <x:c r="F9" t="str">
        <x:v>Guard retained; no values stored</x:v>
      </x:c>
    </x:row>
    <x:row r="10">
      <x:c r="A10" t="str">
        <x:v>CTRL-09</x:v>
      </x:c>
      <x:c r="B10" t="str">
        <x:v>Evidence chain</x:v>
      </x:c>
      <x:c r="C10" t="str">
        <x:v>Evidence ID, invoice placeholder, run_id, ledger row ID map together</x:v>
      </x:c>
      <x:c r="D10" t="str">
        <x:v>Flag missing or mismatched chain</x:v>
      </x:c>
      <x:c r="E10" t="str">
        <x:v>No formal trace claim if placeholder</x:v>
      </x:c>
      <x:c r="F10" t="str">
        <x:v>Self-check script validates linkage</x:v>
      </x:c>
    </x:row>
    <x:row r="11">
      <x:c r="A11" s="12" t="str">
        <x:v>CTRL-10</x:v>
      </x:c>
      <x:c r="B11" s="12" t="str">
        <x:v>Factor provenance</x:v>
      </x:c>
      <x:c r="C11" s="12" t="str">
        <x:v>Each EF links to Source_Register and status</x:v>
      </x:c>
      <x:c r="D11" s="12" t="str">
        <x:v>Unverified proxy blocks formal use</x:v>
      </x:c>
      <x:c r="E11" s="12" t="str">
        <x:v>Simulated only</x:v>
      </x:c>
      <x:c r="F11" s="12" t="str">
        <x:v>Source register row 5 / SRC-004 pending verification</x:v>
      </x:c>
    </x:row>
    <x:row r="12">
      <x:c r="A12" s="12" t="str">
        <x:v>CTRL-11</x:v>
      </x:c>
      <x:c r="B12" s="12" t="str">
        <x:v>Unit whitelist</x:v>
      </x:c>
      <x:c r="C12" s="12" t="str">
        <x:v>Activity unit must be one of L, kWh, km, t AND EF unit must match exact expected unit</x:v>
      </x:c>
      <x:c r="D12" s="12" t="str">
        <x:v>Block unsupported activity unit or mismatch</x:v>
      </x:c>
      <x:c r="E12" s="12" t="str">
        <x:v>Exclude until corrected</x:v>
      </x:c>
      <x:c r="F12" s="12" t="str">
        <x:v>Implemented in AJ; `m³` and other unknown units blocked</x:v>
      </x:c>
    </x:row>
    <x:row r="13">
      <x:c r="A13" s="12" t="str">
        <x:v>CTRL-12</x:v>
      </x:c>
      <x:c r="B13" s="12" t="str">
        <x:v>Physical trip duplicate candidates</x:v>
      </x:c>
      <x:c r="C13" s="12" t="str">
        <x:v>Duplicate Trip_ID, Source_Ledger_Row_No, or fingerprint (Vehicle + Date + Activity + Distance + Cargo + Activity value + Unit)</x:v>
      </x:c>
      <x:c r="D13" s="12" t="str">
        <x:v>Block candidate until owner reviews source/run logs</x:v>
      </x:c>
      <x:c r="E13" s="12" t="str">
        <x:v>Exclude/freeze pending review</x:v>
      </x:c>
      <x:c r="F13" s="12" t="str">
        <x:v>Implemented in AM/AN/AJ; candidate key is conservative heuristic, not proof of duplicate</x:v>
      </x:c>
    </x:row>
    <x:row r="14">
      <x:c r="A14" s="12" t="str">
        <x:v>CTRL-13</x:v>
      </x:c>
      <x:c r="B14" s="12" t="str">
        <x:v>Formal summary eligibility</x:v>
      </x:c>
      <x:c r="C14" s="12" t="str">
        <x:v>Status must be actual, simulated != yes, factor verified, all evidence keys present, precheck and physical uniqueness pass, owner approval status approved</x:v>
      </x:c>
      <x:c r="D14" s="12" t="str">
        <x:v>Formal summaries include only FORMAL_APPROVED rows</x:v>
      </x:c>
      <x:c r="E14" s="12" t="str">
        <x:v>No approved rows =&gt; zero total plus NO_APPROVED_ROWS status</x:v>
      </x:c>
      <x:c r="F14" s="12" t="str">
        <x:v>Implemented in AO/AP and Formal_Monthly_Summary/Formal_Annual_Summary</x:v>
      </x:c>
    </x:row>
    <x:row r="15">
      <x:c r="A15" s="12" t="str">
        <x:v>CTRL-14</x:v>
      </x:c>
      <x:c r="B15" s="12" t="str">
        <x:v>Physical identity required fields</x:v>
      </x:c>
      <x:c r="C15" s="12" t="str">
        <x:v>Vehicle_ID, Trip_Date, Activity_Type, Distance, Cargo, Trip_ID, Evidence_ID, Run_ID and source ledger row must exist</x:v>
      </x:c>
      <x:c r="D15" s="12" t="str">
        <x:v>Block calculation; emit no numeric result</x:v>
      </x:c>
      <x:c r="E15" s="12" t="str">
        <x:v>Exclude until completed</x:v>
      </x:c>
      <x:c r="F15" s="12" t="str">
        <x:v>Implemented in AJ/AK; missing Vehicle_ID test PT-019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42" hidden="0" customWidth="1"/>
    <x:col min="4" max="4" width="42" hidden="0" customWidth="1"/>
  </x:cols>
  <x:sheetData>
    <x:row r="1" ht="30" customHeight="1">
      <x:c r="A1" s="26" t="str">
        <x:v>碳账自查改进与多组模拟可行性验证</x:v>
      </x:c>
      <x:c r="B1" s="26"/>
      <x:c r="C1" s="26"/>
      <x:c r="D1" s="26"/>
    </x:row>
    <x:row r="3">
      <x:c r="A3" s="37" t="str">
        <x:v>项目</x:v>
      </x:c>
      <x:c r="B3" s="37" t="str">
        <x:v>本轮结果</x:v>
      </x:c>
    </x:row>
    <x:row r="4">
      <x:c r="A4" t="str">
        <x:v>主账 simulated 记录数</x:v>
      </x:c>
      <x:c r="B4" t="n">
        <x:v>12</x:v>
      </x:c>
    </x:row>
    <x:row r="5">
      <x:c r="A5" t="str">
        <x:v>覆盖月份数</x:v>
      </x:c>
      <x:c r="B5" t="n">
        <x:v>3</x:v>
      </x:c>
    </x:row>
    <x:row r="6">
      <x:c r="A6" t="str">
        <x:v>Test_Cases 数量</x:v>
      </x:c>
      <x:c r="B6" t="n">
        <x:v>15</x:v>
      </x:c>
    </x:row>
    <x:row r="7">
      <x:c r="A7" t="str">
        <x:v>预期控制通过案例</x:v>
      </x:c>
      <x:c r="B7" t="n">
        <x:v>11</x:v>
      </x:c>
    </x:row>
    <x:row r="8">
      <x:c r="A8" t="str">
        <x:v>预期阻断案例</x:v>
      </x:c>
      <x:c r="B8" t="n">
        <x:v>4</x:v>
      </x:c>
    </x:row>
    <x:row r="9">
      <x:c r="A9" t="str">
        <x:v>正式可入账结论</x:v>
      </x:c>
      <x:c r="B9" t="str">
        <x:v>不生成；代理因子和模拟数据均不能正式入账</x:v>
      </x:c>
    </x:row>
    <x:row r="11">
      <x:c r="A11" s="34" t="str">
        <x:v>核验项目</x:v>
      </x:c>
      <x:c r="B11" s="34" t="str">
        <x:v>独立计算结果</x:v>
      </x:c>
      <x:c r="C11" s="34" t="str">
        <x:v>Excel工作表控制</x:v>
      </x:c>
      <x:c r="D11" s="34" t="str">
        <x:v>判定</x:v>
      </x:c>
    </x:row>
    <x:row r="12">
      <x:c r="A12" t="str">
        <x:v>单元格计算公式</x:v>
      </x:c>
      <x:c r="B12" t="str">
        <x:v>活动量 × 因子；kg转t</x:v>
      </x:c>
      <x:c r="C12" t="str">
        <x:v>Trip_Detail!X:Y formulas</x:v>
      </x:c>
      <x:c r="D12" t="str">
        <x:v>适用于单位匹配且因子已核验的数据；当前仅模拟</x:v>
      </x:c>
    </x:row>
    <x:row r="13">
      <x:c r="A13" t="str">
        <x:v>月度汇总</x:v>
      </x:c>
      <x:c r="B13" t="str">
        <x:v>由12行逐笔结果独立重算</x:v>
      </x:c>
      <x:c r="C13" t="str">
        <x:v>Monthly_Summary!B:C formulas</x:v>
      </x:c>
      <x:c r="D13" t="str">
        <x:v>待自检脚本独立核对</x:v>
      </x:c>
    </x:row>
    <x:row r="14">
      <x:c r="A14" t="str">
        <x:v>年度汇总</x:v>
      </x:c>
      <x:c r="B14" t="str">
        <x:v>由12行逐笔结果独立重算</x:v>
      </x:c>
      <x:c r="C14" t="str">
        <x:v>Annual_Summary!B:C formulas</x:v>
      </x:c>
      <x:c r="D14" t="str">
        <x:v>待自检脚本独立核对</x:v>
      </x:c>
    </x:row>
    <x:row r="15">
      <x:c r="A15" t="str">
        <x:v>缺失因子</x:v>
      </x:c>
      <x:c r="B15" t="str">
        <x:v>无计算结果</x:v>
      </x:c>
      <x:c r="C15" t="str">
        <x:v>Test_Cases TC-010</x:v>
      </x:c>
      <x:c r="D15" t="str">
        <x:v>应阻断</x:v>
      </x:c>
    </x:row>
    <x:row r="16">
      <x:c r="A16" t="str">
        <x:v>负活动量</x:v>
      </x:c>
      <x:c r="B16" t="str">
        <x:v>无计算结果</x:v>
      </x:c>
      <x:c r="C16" t="str">
        <x:v>Test_Cases TC-011</x:v>
      </x:c>
      <x:c r="D16" t="str">
        <x:v>应阻断</x:v>
      </x:c>
    </x:row>
    <x:row r="17">
      <x:c r="A17" t="str">
        <x:v>单位不匹配</x:v>
      </x:c>
      <x:c r="B17" t="str">
        <x:v>无计算结果</x:v>
      </x:c>
      <x:c r="C17" t="str">
        <x:v>Test_Cases TC-012</x:v>
      </x:c>
      <x:c r="D17" t="str">
        <x:v>应阻断</x:v>
      </x:c>
    </x:row>
    <x:row r="18">
      <x:c r="A18" t="str">
        <x:v>重复ID</x:v>
      </x:c>
      <x:c r="B18" t="str">
        <x:v>主账已有的ID不允许重复录入</x:v>
      </x:c>
      <x:c r="C18" t="str">
        <x:v>Test_Cases TC-015</x:v>
      </x:c>
      <x:c r="D18" t="str">
        <x:v>应阻断</x:v>
      </x:c>
    </x:row>
    <x:row r="19" ht="42" customHeight="1">
      <x:c r="A19" s="38" t="str">
        <x:v>配额台账示例</x:v>
      </x:c>
      <x:c r="B19" s="38" t="str">
        <x:v>模拟已用量=2.439298 t，与本版主账模拟总量一致</x:v>
      </x:c>
      <x:c r="C19" s="38" t="str">
        <x:v>Quota_Ledger!F2:H2 formulas</x:v>
      </x:c>
      <x:c r="D19" s="38" t="str">
        <x:v>可用1.2t、结余0、模拟缺口1.239298t；非实际履约结论</x:v>
      </x:c>
    </x:row>
    <x:row r="20">
      <x:c r="A20" s="41" t="str">
        <x:v>第二轮压力测试</x:v>
      </x:c>
      <x:c r="B20" s="41" t="str">
        <x:v>实际结果</x:v>
      </x:c>
      <x:c r="C20" s="41" t="str">
        <x:v>预期控制</x:v>
      </x:c>
      <x:c r="D20" s="41" t="str">
        <x:v>结论</x:v>
      </x:c>
    </x:row>
    <x:row r="21">
      <x:c r="A21" s="12" t="str">
        <x:v>压力场景数</x:v>
      </x:c>
      <x:c r="B21" s="12" t="n">
        <x:v>19</x:v>
      </x:c>
      <x:c r="C21" s="12" t="str">
        <x:v>逐条比较实际与预期控制</x:v>
      </x:c>
      <x:c r="D21" s="12" t="str">
        <x:v>详见 Pressure_Test_Cases</x:v>
      </x:c>
    </x:row>
    <x:row r="22">
      <x:c r="A22" s="12" t="str">
        <x:v>未知单位 m³</x:v>
      </x:c>
      <x:c r="B22" s="12" t="str">
        <x:v>BLOCK_UNSUPPORTED_UNIT</x:v>
      </x:c>
      <x:c r="C22" s="12" t="str">
        <x:v>必须阻断</x:v>
      </x:c>
      <x:c r="D22" s="12" t="str">
        <x:v>已覆盖</x:v>
      </x:c>
    </x:row>
    <x:row r="23">
      <x:c r="A23" s="12" t="str">
        <x:v>换新ID重复物理趟次</x:v>
      </x:c>
      <x:c r="B23" s="12" t="str">
        <x:v>BLOCK_POSSIBLE_PHYSICAL_DUPLICATE</x:v>
      </x:c>
      <x:c r="C23" s="12" t="str">
        <x:v>冻结汇总复核</x:v>
      </x:c>
      <x:c r="D23" s="12" t="str">
        <x:v>已覆盖</x:v>
      </x:c>
    </x:row>
    <x:row r="24">
      <x:c r="A24" s="12" t="str">
        <x:v>正式月/年汇总</x:v>
      </x:c>
      <x:c r="B24" s="12" t="str">
        <x:v>仅统计 FORMAL_APPROVED</x:v>
      </x:c>
      <x:c r="C24" s="12" t="str">
        <x:v>模拟/未核准行不得进入正式汇总</x:v>
      </x:c>
      <x:c r="D24" s="12" t="str">
        <x:v>新增独立正式汇总视图</x:v>
      </x:c>
    </x:row>
    <x:row r="25">
      <x:c r="A25" s="12" t="str">
        <x:v>正式汇总当前状态</x:v>
      </x:c>
      <x:c r="B25" s="12" t="str">
        <x:v>NO_APPROVED_ROWS</x:v>
      </x:c>
      <x:c r="C25" s="12" t="str">
        <x:v>无审批记录则显示零且标明无已批准行</x:v>
      </x:c>
      <x:c r="D25" s="12" t="str">
        <x:v>符合保护门禁</x:v>
      </x:c>
    </x:row>
    <x:row r="26">
      <x:c r="A26" s="12" t="str">
        <x:v>Missing physical identity field</x:v>
      </x:c>
      <x:c r="B26" s="12" t="str">
        <x:v>BLOCK_MISSING_REQUIRED</x:v>
      </x:c>
      <x:c r="C26" s="12" t="str">
        <x:v>Vehicle/date/type/route/activity key must be available</x:v>
      </x:c>
      <x:c r="D26" s="12" t="str">
        <x:v>PT-019 covered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72" hidden="0" customWidth="1"/>
  </x:cols>
  <x:sheetData>
    <x:row r="1">
      <x:c r="A1" s="42" t="str">
        <x:v>Month</x:v>
      </x:c>
      <x:c r="B1" s="42" t="str">
        <x:v>Approved_Row_Count</x:v>
      </x:c>
      <x:c r="C1" s="42" t="str">
        <x:v>Approved_Emissions_tCO2e</x:v>
      </x:c>
      <x:c r="D1" s="42" t="str">
        <x:v>Gate_Status</x:v>
      </x:c>
      <x:c r="E1" s="42" t="str">
        <x:v>Note</x:v>
      </x:c>
    </x:row>
    <x:row r="2">
      <x:c r="A2" s="12" t="str">
        <x:v>2026-10</x:v>
      </x:c>
      <x:c r="B2" s="12" t="n">
        <x:f>COUNTIFS(Trip_Detail!$H$2:$H$101,A2,Trip_Detail!$AP$2:$AP$101,"FORMAL_APPROVED")</x:f>
        <x:v>0</x:v>
      </x:c>
      <x:c r="C2" s="12" t="n">
        <x:f>SUMIFS(Trip_Detail!$Y$2:$Y$101,Trip_Detail!$H$2:$H$101,A2,Trip_Detail!$AP$2:$AP$101,"FORMAL_APPROVED")</x:f>
        <x:v>0</x:v>
      </x:c>
      <x:c r="D2" s="12" t="str">
        <x:f>IF(B2=0,"NO_APPROVED_ROWS","FORMAL_APPROVED_SUMMARY")</x:f>
        <x:v>NO_APPROVED_ROWS</x:v>
      </x:c>
      <x:c r="E2" s="12" t="str">
        <x:v>Formal totals include only rows passing all controls and with documented owner approval; none in current simulated data.</x:v>
      </x:c>
    </x:row>
    <x:row r="3">
      <x:c r="A3" s="12" t="str">
        <x:v>2026-11</x:v>
      </x:c>
      <x:c r="B3" s="12" t="n">
        <x:f>COUNTIFS(Trip_Detail!$H$2:$H$101,A3,Trip_Detail!$AP$2:$AP$101,"FORMAL_APPROVED")</x:f>
        <x:v>0</x:v>
      </x:c>
      <x:c r="C3" s="12" t="n">
        <x:f>SUMIFS(Trip_Detail!$Y$2:$Y$101,Trip_Detail!$H$2:$H$101,A3,Trip_Detail!$AP$2:$AP$101,"FORMAL_APPROVED")</x:f>
        <x:v>0</x:v>
      </x:c>
      <x:c r="D3" s="12" t="str">
        <x:f>IF(B3=0,"NO_APPROVED_ROWS","FORMAL_APPROVED_SUMMARY")</x:f>
        <x:v>NO_APPROVED_ROWS</x:v>
      </x:c>
      <x:c r="E3" s="12" t="str">
        <x:v>Formal totals include only rows passing all controls and with documented owner approval; none in current simulated data.</x:v>
      </x:c>
    </x:row>
    <x:row r="4">
      <x:c r="A4" s="12" t="str">
        <x:v>2026-12</x:v>
      </x:c>
      <x:c r="B4" s="12" t="n">
        <x:f>COUNTIFS(Trip_Detail!$H$2:$H$101,A4,Trip_Detail!$AP$2:$AP$101,"FORMAL_APPROVED")</x:f>
        <x:v>0</x:v>
      </x:c>
      <x:c r="C4" s="12" t="n">
        <x:f>SUMIFS(Trip_Detail!$Y$2:$Y$101,Trip_Detail!$H$2:$H$101,A4,Trip_Detail!$AP$2:$AP$101,"FORMAL_APPROVED")</x:f>
        <x:v>0</x:v>
      </x:c>
      <x:c r="D4" s="12" t="str">
        <x:f>IF(B4=0,"NO_APPROVED_ROWS","FORMAL_APPROVED_SUMMARY")</x:f>
        <x:v>NO_APPROVED_ROWS</x:v>
      </x:c>
      <x:c r="E4" s="12" t="str">
        <x:v>Formal totals include only rows passing all controls and with documented owner approval; none in current simulated data.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72" hidden="0" customWidth="1"/>
  </x:cols>
  <x:sheetData>
    <x:row r="1">
      <x:c r="A1" s="42" t="str">
        <x:v>Year</x:v>
      </x:c>
      <x:c r="B1" s="42" t="str">
        <x:v>Approved_Row_Count</x:v>
      </x:c>
      <x:c r="C1" s="42" t="str">
        <x:v>Approved_Emissions_tCO2e</x:v>
      </x:c>
      <x:c r="D1" s="42" t="str">
        <x:v>Gate_Status</x:v>
      </x:c>
      <x:c r="E1" s="42" t="str">
        <x:v>Note</x:v>
      </x:c>
    </x:row>
    <x:row r="2">
      <x:c r="A2" s="12" t="n">
        <x:v>2026</x:v>
      </x:c>
      <x:c r="B2" s="12" t="n">
        <x:f>COUNTIFS(Trip_Detail!$I$2:$I$101,A2,Trip_Detail!$AP$2:$AP$101,"FORMAL_APPROVED")</x:f>
        <x:v>0</x:v>
      </x:c>
      <x:c r="C2" s="12" t="n">
        <x:f>SUMIFS(Trip_Detail!$Y$2:$Y$101,Trip_Detail!$I$2:$I$101,A2,Trip_Detail!$AP$2:$AP$101,"FORMAL_APPROVED")</x:f>
        <x:v>0</x:v>
      </x:c>
      <x:c r="D2" s="12" t="str">
        <x:f>IF(B2=0,"NO_APPROVED_ROWS","FORMAL_APPROVED_SUMMARY")</x:f>
        <x:v>NO_APPROVED_ROWS</x:v>
      </x:c>
      <x:c r="E2" s="12" t="str">
        <x:v>Formal totals include only rows passing all controls and with documented owner approval; none in current simulated data.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16" hidden="0" customWidth="1"/>
    <x:col min="3" max="3" width="35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22" hidden="0" customWidth="1"/>
    <x:col min="16" max="16" width="22" hidden="0" customWidth="1"/>
    <x:col min="17" max="17" width="24" hidden="0" customWidth="1"/>
    <x:col min="18" max="18" width="24" hidden="0" customWidth="1"/>
    <x:col min="19" max="19" width="22" hidden="0" customWidth="1"/>
    <x:col min="20" max="20" width="22" hidden="0" customWidth="1"/>
    <x:col min="21" max="21" width="22" hidden="0" customWidth="1"/>
    <x:col min="22" max="22" width="14" hidden="0" customWidth="1"/>
    <x:col min="23" max="23" width="28" hidden="0" customWidth="1"/>
    <x:col min="24" max="24" width="28" hidden="0" customWidth="1"/>
    <x:col min="25" max="25" width="28" hidden="0" customWidth="1"/>
    <x:col min="26" max="26" width="28" hidden="0" customWidth="1"/>
    <x:col min="27" max="27" width="28" hidden="0" customWidth="1"/>
    <x:col min="28" max="28" width="28" hidden="0" customWidth="1"/>
    <x:col min="29" max="29" width="28" hidden="0" customWidth="1"/>
    <x:col min="30" max="30" width="28" hidden="0" customWidth="1"/>
    <x:col min="31" max="31" width="28" hidden="0" customWidth="1"/>
    <x:col min="32" max="32" width="28" hidden="0" customWidth="1"/>
    <x:col min="33" max="33" width="28" hidden="0" customWidth="1"/>
    <x:col min="34" max="34" width="14" hidden="0" customWidth="1"/>
    <x:col min="35" max="35" width="60" hidden="0" customWidth="1"/>
    <x:col min="36" max="36" width="22" hidden="0" customWidth="1"/>
  </x:cols>
  <x:sheetData>
    <x:row r="1">
      <x:c r="A1" s="43" t="str">
        <x:v>Test_ID</x:v>
      </x:c>
      <x:c r="B1" s="43" t="str">
        <x:v>Group</x:v>
      </x:c>
      <x:c r="C1" s="43" t="str">
        <x:v>Scenario</x:v>
      </x:c>
      <x:c r="D1" s="43" t="str">
        <x:v>Ledger_Row_ID</x:v>
      </x:c>
      <x:c r="E1" s="43" t="str">
        <x:v>Trip_ID</x:v>
      </x:c>
      <x:c r="F1" s="43" t="str">
        <x:v>Vehicle_ID</x:v>
      </x:c>
      <x:c r="G1" s="43" t="str">
        <x:v>Trip_Date</x:v>
      </x:c>
      <x:c r="H1" s="43" t="str">
        <x:v>Activity_Type</x:v>
      </x:c>
      <x:c r="I1" s="43" t="str">
        <x:v>Activity_Value</x:v>
      </x:c>
      <x:c r="J1" s="43" t="str">
        <x:v>Activity_Unit</x:v>
      </x:c>
      <x:c r="K1" s="43" t="str">
        <x:v>Distance_km</x:v>
      </x:c>
      <x:c r="L1" s="43" t="str">
        <x:v>Cargo_t</x:v>
      </x:c>
      <x:c r="M1" s="43" t="str">
        <x:v>Source_Ledger_Row_No</x:v>
      </x:c>
      <x:c r="N1" s="43" t="str">
        <x:v>EF_Value</x:v>
      </x:c>
      <x:c r="O1" s="43" t="str">
        <x:v>EF_Unit</x:v>
      </x:c>
      <x:c r="P1" s="43" t="str">
        <x:v>Factor_Status</x:v>
      </x:c>
      <x:c r="Q1" s="43" t="str">
        <x:v>Record_Data_Status_Under_Test</x:v>
      </x:c>
      <x:c r="R1" s="43" t="str">
        <x:v>Record_Simulated_Flag_Under_Test</x:v>
      </x:c>
      <x:c r="S1" s="43" t="str">
        <x:v>Evidence_ID</x:v>
      </x:c>
      <x:c r="T1" s="43" t="str">
        <x:v>Run_ID</x:v>
      </x:c>
      <x:c r="U1" s="43" t="str">
        <x:v>Owner_Approval_Status</x:v>
      </x:c>
      <x:c r="V1" s="43" t="str">
        <x:v>Scenario_Only</x:v>
      </x:c>
      <x:c r="W1" s="43" t="str">
        <x:v>Allocation_Group_ID</x:v>
      </x:c>
      <x:c r="X1" s="43" t="str">
        <x:v>Allocation_Share</x:v>
      </x:c>
      <x:c r="Y1" s="43" t="str">
        <x:v>Trip_Total_kgCO2e</x:v>
      </x:c>
      <x:c r="Z1" s="43" t="str">
        <x:v>Physical_Trip_Key</x:v>
      </x:c>
      <x:c r="AA1" s="43" t="str">
        <x:v>Physical_Trip_Control</x:v>
      </x:c>
      <x:c r="AB1" s="43" t="str">
        <x:v>Validation_Status</x:v>
      </x:c>
      <x:c r="AC1" s="43" t="str">
        <x:v>Formal_Summary_Eligibility</x:v>
      </x:c>
      <x:c r="AD1" s="43" t="str">
        <x:v>Expected_Validation_Status</x:v>
      </x:c>
      <x:c r="AE1" s="43" t="str">
        <x:v>Expected_Formal_Eligibility</x:v>
      </x:c>
      <x:c r="AF1" s="43" t="str">
        <x:v>Allocation_Control</x:v>
      </x:c>
      <x:c r="AG1" s="43" t="str">
        <x:v>Expected_Allocation_Control</x:v>
      </x:c>
      <x:c r="AH1" s="43" t="str">
        <x:v>Test_Result</x:v>
      </x:c>
      <x:c r="AI1" s="43" t="str">
        <x:v>Notes</x:v>
      </x:c>
      <x:c r="AJ1" s="47" t="str">
        <x:v>Fixture_Data_Status</x:v>
      </x:c>
    </x:row>
    <x:row r="2">
      <x:c r="A2" s="12" t="str">
        <x:v>PT-001</x:v>
      </x:c>
      <x:c r="B2" s="12" t="str">
        <x:v>Units</x:v>
      </x:c>
      <x:c r="C2" s="12" t="str">
        <x:v>Normal supported diesel unit</x:v>
      </x:c>
      <x:c r="D2" s="12" t="str">
        <x:v>PT-LR-001</x:v>
      </x:c>
      <x:c r="E2" s="12" t="str">
        <x:v>PT-TRIP-001</x:v>
      </x:c>
      <x:c r="F2" s="12" t="str">
        <x:v>PT-VH-001</x:v>
      </x:c>
      <x:c r="G2" s="12" t="str">
        <x:v>2026-10-06</x:v>
      </x:c>
      <x:c r="H2" s="12" t="str">
        <x:v>柴油消耗</x:v>
      </x:c>
      <x:c r="I2" s="12" t="n">
        <x:v>22.5</x:v>
      </x:c>
      <x:c r="J2" s="12" t="str">
        <x:v>L</x:v>
      </x:c>
      <x:c r="K2" s="12" t="n">
        <x:v>90</x:v>
      </x:c>
      <x:c r="L2" s="12" t="n">
        <x:v>1.2</x:v>
      </x:c>
      <x:c r="M2" s="12" t="str">
        <x:v>PT-SRCROW-001</x:v>
      </x:c>
      <x:c r="N2" s="12" t="n">
        <x:v>3.16</x:v>
      </x:c>
      <x:c r="O2" s="12" t="str">
        <x:v>kgCO2e/L</x:v>
      </x:c>
      <x:c r="P2" s="12" t="str">
        <x:v>proxy_pending_verification</x:v>
      </x:c>
      <x:c r="Q2" s="12" t="str">
        <x:v>simulated</x:v>
      </x:c>
      <x:c r="R2" s="12" t="str">
        <x:v>yes</x:v>
      </x:c>
      <x:c r="S2" s="12" t="str">
        <x:v>EVD-TEST-PT-001</x:v>
      </x:c>
      <x:c r="T2" s="12" t="str">
        <x:v>RUN-TEST-PT-001</x:v>
      </x:c>
      <x:c r="U2" s="12" t="str">
        <x:v>not approved</x:v>
      </x:c>
      <x:c r="V2" s="12" t="str">
        <x:v>yes</x:v>
      </x:c>
      <x:c r="W2" s="12" t="str"/>
      <x:c r="X2" s="12"/>
      <x:c r="Y2" s="12"/>
      <x:c r="Z2" s="12" t="str">
        <x:f>IF(OR(F2="",G2="",H2="",COUNT(I2)=0,J2="",COUNT(K2)=0,COUNT(L2)=0),"",UPPER(F2&amp;"|"&amp;G2&amp;"|"&amp;H2&amp;"|"&amp;TEXT(K2,"0.000")&amp;"|"&amp;TEXT(L2,"0.000")&amp;"|"&amp;TEXT(I2,"0.000")&amp;"|"&amp;J2))</x:f>
        <x:v>PT-VH-001|2026-10-06|柴油消耗|90.000|1.200|22.500|L</x:v>
      </x:c>
      <x:c r="AA2" s="12" t="str">
        <x:f>IF(D2="","N/A",IF(OR(AND(E2&lt;&gt;"",COUNTIF(Trip_Detail!$C$2:$C$101,E2)&gt;0),AND(M2&lt;&gt;"",COUNTIF(Trip_Detail!$AE$2:$AE$101,M2)&gt;0),AND(Z2&lt;&gt;"",COUNTIF(Trip_Detail!$AM$2:$AM$101,Z2)&gt;0),COUNTIF($E$2:$E$100,E2)&gt;1,COUNTIF($M$2:$M$100,M2)&gt;1,COUNTIF($Z$2:$Z$100,Z2)&gt;1),"BLOCK_POSSIBLE_PHYSICAL_DUPLICATE","PASS_UNIQUE_PHYSICAL_TRIP"))</x:f>
        <x:v>PASS_UNIQUE_PHYSICAL_TRIP</x:v>
      </x:c>
      <x:c r="AB2" s="12" t="str">
        <x:f>IF(D2="","N/A",IF(OR(F2="",G2="",H2="",COUNT(I2)=0,J2="",COUNT(K2)=0,COUNT(L2)=0,M2="",COUNT(N2)=0,O2="",S2="",T2=""),"BLOCK_MISSING_REQUIRED",IF(I2&lt;0,"BLOCK_NEGATIVE_ACTIVITY",IF(AND(J2&lt;&gt;"L",J2&lt;&gt;"kWh",J2&lt;&gt;"km",J2&lt;&gt;"t"),"BLOCK_UNSUPPORTED_UNIT",IF(OR(AND(J2="L",O2&lt;&gt;"kgCO2e/L"),AND(J2="kWh",O2&lt;&gt;"kgCO2e/kWh"),AND(J2="km",O2&lt;&gt;"kgCO2e/km"),AND(J2="t",O2&lt;&gt;"kgCO2e/t")),"BLOCK_UNIT_MISMATCH",IF(OR(COUNTIF(Trip_Detail!$A$2:$A$101,D2)&gt;0,COUNTIF($D$2:$D$100,D2)&gt;1),"BLOCK_DUPLICATE_LEDGER_ID",IF(AA2&lt;&gt;"PASS_UNIQUE_PHYSICAL_TRIP","BLOCK_POSSIBLE_PHYSICAL_DUPLICATE",IF(AND(Q2="simulated",R2="yes"),"PASS_SIMULATED_ONLY",IF(AND(Q2="actual",R2&lt;&gt;"yes",P2="factor_verified",S2&lt;&gt;"",T2&lt;&gt;"",M2&lt;&gt;""),"PASS_FORMAL_PRECHECK","REVIEW_DATA_STATUS")))))))))</x:f>
        <x:v>PASS_SIMULATED_ONLY</x:v>
      </x:c>
      <x:c r="AC2" s="12" t="str">
        <x:f>IF(D2="","N/A",IF(AND(Q2="actual",R2&lt;&gt;"yes",P2="factor_verified",AB2="PASS_FORMAL_PRECHECK",AA2="PASS_UNIQUE_PHYSICAL_TRIP",U2="approved",S2&lt;&gt;"",T2&lt;&gt;"",M2&lt;&gt;""),"FORMAL_APPROVED","EXCLUDED_NOT_FORMALLY_APPROVED"))</x:f>
        <x:v>EXCLUDED_NOT_FORMALLY_APPROVED</x:v>
      </x:c>
      <x:c r="AD2" s="12" t="str">
        <x:v>PASS_SIMULATED_ONLY</x:v>
      </x:c>
      <x:c r="AE2" s="12" t="str">
        <x:v>EXCLUDED_NOT_FORMALLY_APPROVED</x:v>
      </x:c>
      <x:c r="AF2" s="12" t="str">
        <x:f>IF(W2="","N/A",IF(ABS(SUMIF($W$2:$W$100,W2,$X$2:$X$100)-1)&lt;=0.000001,"PASS_ALLOCATION","BLOCK_ALLOCATION_SUM"))</x:f>
        <x:v>N/A</x:v>
      </x:c>
      <x:c r="AG2" s="12" t="str">
        <x:v>N/A</x:v>
      </x:c>
      <x:c r="AH2" s="12" t="str">
        <x:f>IF(AND(AB2=AD2,AC2=AE2,AF2=AG2),"PASS","FAIL")</x:f>
        <x:v>PASS</x:v>
      </x:c>
      <x:c r="AI2" s="12" t="str">
        <x:v>Synthetic scenario only; not real source data and not eligible for real-world posting.</x:v>
      </x:c>
      <x:c r="AJ2" s="48" t="str">
        <x:v>simulated</x:v>
      </x:c>
    </x:row>
    <x:row r="3">
      <x:c r="A3" s="12" t="str">
        <x:v>PT-002</x:v>
      </x:c>
      <x:c r="B3" s="12" t="str">
        <x:v>Boundary</x:v>
      </x:c>
      <x:c r="C3" s="12" t="str">
        <x:v>Zero activity is not missing</x:v>
      </x:c>
      <x:c r="D3" s="12" t="str">
        <x:v>PT-LR-002</x:v>
      </x:c>
      <x:c r="E3" s="12" t="str">
        <x:v>PT-TRIP-002</x:v>
      </x:c>
      <x:c r="F3" s="12" t="str">
        <x:v>PT-VH-002</x:v>
      </x:c>
      <x:c r="G3" s="12" t="str">
        <x:v>2026-10-07</x:v>
      </x:c>
      <x:c r="H3" s="12" t="str">
        <x:v>柴油消耗</x:v>
      </x:c>
      <x:c r="I3" s="12" t="n">
        <x:v>0</x:v>
      </x:c>
      <x:c r="J3" s="12" t="str">
        <x:v>L</x:v>
      </x:c>
      <x:c r="K3" s="12" t="n">
        <x:v>0</x:v>
      </x:c>
      <x:c r="L3" s="12" t="n">
        <x:v>0</x:v>
      </x:c>
      <x:c r="M3" s="12" t="str">
        <x:v>PT-SRCROW-002</x:v>
      </x:c>
      <x:c r="N3" s="12" t="n">
        <x:v>3.16</x:v>
      </x:c>
      <x:c r="O3" s="12" t="str">
        <x:v>kgCO2e/L</x:v>
      </x:c>
      <x:c r="P3" s="12" t="str">
        <x:v>proxy_pending_verification</x:v>
      </x:c>
      <x:c r="Q3" s="12" t="str">
        <x:v>simulated</x:v>
      </x:c>
      <x:c r="R3" s="12" t="str">
        <x:v>yes</x:v>
      </x:c>
      <x:c r="S3" s="12" t="str">
        <x:v>EVD-TEST-PT-002</x:v>
      </x:c>
      <x:c r="T3" s="12" t="str">
        <x:v>RUN-TEST-PT-002</x:v>
      </x:c>
      <x:c r="U3" s="12" t="str">
        <x:v>not approved</x:v>
      </x:c>
      <x:c r="V3" s="12" t="str">
        <x:v>yes</x:v>
      </x:c>
      <x:c r="W3" s="12" t="str"/>
      <x:c r="X3" s="12"/>
      <x:c r="Y3" s="12"/>
      <x:c r="Z3" s="12" t="str">
        <x:f>IF(OR(F3="",G3="",H3="",COUNT(I3)=0,J3="",COUNT(K3)=0,COUNT(L3)=0),"",UPPER(F3&amp;"|"&amp;G3&amp;"|"&amp;H3&amp;"|"&amp;TEXT(K3,"0.000")&amp;"|"&amp;TEXT(L3,"0.000")&amp;"|"&amp;TEXT(I3,"0.000")&amp;"|"&amp;J3))</x:f>
        <x:v>PT-VH-002|2026-10-07|柴油消耗|0.000|0.000|0.000|L</x:v>
      </x:c>
      <x:c r="AA3" s="12" t="str">
        <x:f>IF(D3="","N/A",IF(OR(AND(E3&lt;&gt;"",COUNTIF(Trip_Detail!$C$2:$C$101,E3)&gt;0),AND(M3&lt;&gt;"",COUNTIF(Trip_Detail!$AE$2:$AE$101,M3)&gt;0),AND(Z3&lt;&gt;"",COUNTIF(Trip_Detail!$AM$2:$AM$101,Z3)&gt;0),COUNTIF($E$2:$E$100,E3)&gt;1,COUNTIF($M$2:$M$100,M3)&gt;1,COUNTIF($Z$2:$Z$100,Z3)&gt;1),"BLOCK_POSSIBLE_PHYSICAL_DUPLICATE","PASS_UNIQUE_PHYSICAL_TRIP"))</x:f>
        <x:v>PASS_UNIQUE_PHYSICAL_TRIP</x:v>
      </x:c>
      <x:c r="AB3" s="12" t="str">
        <x:f>IF(D3="","N/A",IF(OR(F3="",G3="",H3="",COUNT(I3)=0,J3="",COUNT(K3)=0,COUNT(L3)=0,M3="",COUNT(N3)=0,O3="",S3="",T3=""),"BLOCK_MISSING_REQUIRED",IF(I3&lt;0,"BLOCK_NEGATIVE_ACTIVITY",IF(AND(J3&lt;&gt;"L",J3&lt;&gt;"kWh",J3&lt;&gt;"km",J3&lt;&gt;"t"),"BLOCK_UNSUPPORTED_UNIT",IF(OR(AND(J3="L",O3&lt;&gt;"kgCO2e/L"),AND(J3="kWh",O3&lt;&gt;"kgCO2e/kWh"),AND(J3="km",O3&lt;&gt;"kgCO2e/km"),AND(J3="t",O3&lt;&gt;"kgCO2e/t")),"BLOCK_UNIT_MISMATCH",IF(OR(COUNTIF(Trip_Detail!$A$2:$A$101,D3)&gt;0,COUNTIF($D$2:$D$100,D3)&gt;1),"BLOCK_DUPLICATE_LEDGER_ID",IF(AA3&lt;&gt;"PASS_UNIQUE_PHYSICAL_TRIP","BLOCK_POSSIBLE_PHYSICAL_DUPLICATE",IF(AND(Q3="simulated",R3="yes"),"PASS_SIMULATED_ONLY",IF(AND(Q3="actual",R3&lt;&gt;"yes",P3="factor_verified",S3&lt;&gt;"",T3&lt;&gt;"",M3&lt;&gt;""),"PASS_FORMAL_PRECHECK","REVIEW_DATA_STATUS")))))))))</x:f>
        <x:v>PASS_SIMULATED_ONLY</x:v>
      </x:c>
      <x:c r="AC3" s="12" t="str">
        <x:f>IF(D3="","N/A",IF(AND(Q3="actual",R3&lt;&gt;"yes",P3="factor_verified",AB3="PASS_FORMAL_PRECHECK",AA3="PASS_UNIQUE_PHYSICAL_TRIP",U3="approved",S3&lt;&gt;"",T3&lt;&gt;"",M3&lt;&gt;""),"FORMAL_APPROVED","EXCLUDED_NOT_FORMALLY_APPROVED"))</x:f>
        <x:v>EXCLUDED_NOT_FORMALLY_APPROVED</x:v>
      </x:c>
      <x:c r="AD3" s="12" t="str">
        <x:v>PASS_SIMULATED_ONLY</x:v>
      </x:c>
      <x:c r="AE3" s="12" t="str">
        <x:v>EXCLUDED_NOT_FORMALLY_APPROVED</x:v>
      </x:c>
      <x:c r="AF3" s="12" t="str">
        <x:f>IF(W3="","N/A",IF(ABS(SUMIF($W$2:$W$100,W3,$X$2:$X$100)-1)&lt;=0.000001,"PASS_ALLOCATION","BLOCK_ALLOCATION_SUM"))</x:f>
        <x:v>N/A</x:v>
      </x:c>
      <x:c r="AG3" s="12" t="str">
        <x:v>N/A</x:v>
      </x:c>
      <x:c r="AH3" s="12" t="str">
        <x:f>IF(AND(AB3=AD3,AC3=AE3,AF3=AG3),"PASS","FAIL")</x:f>
        <x:v>PASS</x:v>
      </x:c>
      <x:c r="AI3" s="12" t="str">
        <x:v>Synthetic scenario only; not real source data and not eligible for real-world posting.</x:v>
      </x:c>
      <x:c r="AJ3" s="48" t="str">
        <x:v>simulated</x:v>
      </x:c>
    </x:row>
    <x:row r="4">
      <x:c r="A4" s="12" t="str">
        <x:v>PT-003</x:v>
      </x:c>
      <x:c r="B4" s="12" t="str">
        <x:v>Units</x:v>
      </x:c>
      <x:c r="C4" s="12" t="str">
        <x:v>Unsupported activity unit m³</x:v>
      </x:c>
      <x:c r="D4" s="12" t="str">
        <x:v>PT-LR-003</x:v>
      </x:c>
      <x:c r="E4" s="12" t="str">
        <x:v>PT-TRIP-003</x:v>
      </x:c>
      <x:c r="F4" s="12" t="str">
        <x:v>PT-VH-003</x:v>
      </x:c>
      <x:c r="G4" s="12" t="str">
        <x:v>2026-10-08</x:v>
      </x:c>
      <x:c r="H4" s="12" t="str">
        <x:v>燃料活动测试</x:v>
      </x:c>
      <x:c r="I4" s="12" t="n">
        <x:v>3</x:v>
      </x:c>
      <x:c r="J4" s="12" t="str">
        <x:v>m³</x:v>
      </x:c>
      <x:c r="K4" s="12" t="n">
        <x:v>50</x:v>
      </x:c>
      <x:c r="L4" s="12" t="n">
        <x:v>1</x:v>
      </x:c>
      <x:c r="M4" s="12" t="str">
        <x:v>PT-SRCROW-003</x:v>
      </x:c>
      <x:c r="N4" s="12" t="n">
        <x:v>0.8</x:v>
      </x:c>
      <x:c r="O4" s="12" t="str">
        <x:v>kgCO2e/m³</x:v>
      </x:c>
      <x:c r="P4" s="12" t="str">
        <x:v>proxy_pending_verification</x:v>
      </x:c>
      <x:c r="Q4" s="12" t="str">
        <x:v>simulated</x:v>
      </x:c>
      <x:c r="R4" s="12" t="str">
        <x:v>yes</x:v>
      </x:c>
      <x:c r="S4" s="12" t="str">
        <x:v>EVD-TEST-PT-003</x:v>
      </x:c>
      <x:c r="T4" s="12" t="str">
        <x:v>RUN-TEST-PT-003</x:v>
      </x:c>
      <x:c r="U4" s="12" t="str">
        <x:v>not approved</x:v>
      </x:c>
      <x:c r="V4" s="12" t="str">
        <x:v>yes</x:v>
      </x:c>
      <x:c r="W4" s="12" t="str"/>
      <x:c r="X4" s="12"/>
      <x:c r="Y4" s="12"/>
      <x:c r="Z4" s="12" t="str">
        <x:f>IF(OR(F4="",G4="",H4="",COUNT(I4)=0,J4="",COUNT(K4)=0,COUNT(L4)=0),"",UPPER(F4&amp;"|"&amp;G4&amp;"|"&amp;H4&amp;"|"&amp;TEXT(K4,"0.000")&amp;"|"&amp;TEXT(L4,"0.000")&amp;"|"&amp;TEXT(I4,"0.000")&amp;"|"&amp;J4))</x:f>
        <x:v>PT-VH-003|2026-10-08|燃料活动测试|50.000|1.000|3.000|M³</x:v>
      </x:c>
      <x:c r="AA4" s="12" t="str">
        <x:f>IF(D4="","N/A",IF(OR(AND(E4&lt;&gt;"",COUNTIF(Trip_Detail!$C$2:$C$101,E4)&gt;0),AND(M4&lt;&gt;"",COUNTIF(Trip_Detail!$AE$2:$AE$101,M4)&gt;0),AND(Z4&lt;&gt;"",COUNTIF(Trip_Detail!$AM$2:$AM$101,Z4)&gt;0),COUNTIF($E$2:$E$100,E4)&gt;1,COUNTIF($M$2:$M$100,M4)&gt;1,COUNTIF($Z$2:$Z$100,Z4)&gt;1),"BLOCK_POSSIBLE_PHYSICAL_DUPLICATE","PASS_UNIQUE_PHYSICAL_TRIP"))</x:f>
        <x:v>PASS_UNIQUE_PHYSICAL_TRIP</x:v>
      </x:c>
      <x:c r="AB4" s="12" t="str">
        <x:f>IF(D4="","N/A",IF(OR(F4="",G4="",H4="",COUNT(I4)=0,J4="",COUNT(K4)=0,COUNT(L4)=0,M4="",COUNT(N4)=0,O4="",S4="",T4=""),"BLOCK_MISSING_REQUIRED",IF(I4&lt;0,"BLOCK_NEGATIVE_ACTIVITY",IF(AND(J4&lt;&gt;"L",J4&lt;&gt;"kWh",J4&lt;&gt;"km",J4&lt;&gt;"t"),"BLOCK_UNSUPPORTED_UNIT",IF(OR(AND(J4="L",O4&lt;&gt;"kgCO2e/L"),AND(J4="kWh",O4&lt;&gt;"kgCO2e/kWh"),AND(J4="km",O4&lt;&gt;"kgCO2e/km"),AND(J4="t",O4&lt;&gt;"kgCO2e/t")),"BLOCK_UNIT_MISMATCH",IF(OR(COUNTIF(Trip_Detail!$A$2:$A$101,D4)&gt;0,COUNTIF($D$2:$D$100,D4)&gt;1),"BLOCK_DUPLICATE_LEDGER_ID",IF(AA4&lt;&gt;"PASS_UNIQUE_PHYSICAL_TRIP","BLOCK_POSSIBLE_PHYSICAL_DUPLICATE",IF(AND(Q4="simulated",R4="yes"),"PASS_SIMULATED_ONLY",IF(AND(Q4="actual",R4&lt;&gt;"yes",P4="factor_verified",S4&lt;&gt;"",T4&lt;&gt;"",M4&lt;&gt;""),"PASS_FORMAL_PRECHECK","REVIEW_DATA_STATUS")))))))))</x:f>
        <x:v>BLOCK_UNSUPPORTED_UNIT</x:v>
      </x:c>
      <x:c r="AC4" s="12" t="str">
        <x:f>IF(D4="","N/A",IF(AND(Q4="actual",R4&lt;&gt;"yes",P4="factor_verified",AB4="PASS_FORMAL_PRECHECK",AA4="PASS_UNIQUE_PHYSICAL_TRIP",U4="approved",S4&lt;&gt;"",T4&lt;&gt;"",M4&lt;&gt;""),"FORMAL_APPROVED","EXCLUDED_NOT_FORMALLY_APPROVED"))</x:f>
        <x:v>EXCLUDED_NOT_FORMALLY_APPROVED</x:v>
      </x:c>
      <x:c r="AD4" s="12" t="str">
        <x:v>BLOCK_UNSUPPORTED_UNIT</x:v>
      </x:c>
      <x:c r="AE4" s="12" t="str">
        <x:v>EXCLUDED_NOT_FORMALLY_APPROVED</x:v>
      </x:c>
      <x:c r="AF4" s="12" t="str">
        <x:f>IF(W4="","N/A",IF(ABS(SUMIF($W$2:$W$100,W4,$X$2:$X$100)-1)&lt;=0.000001,"PASS_ALLOCATION","BLOCK_ALLOCATION_SUM"))</x:f>
        <x:v>N/A</x:v>
      </x:c>
      <x:c r="AG4" s="12" t="str">
        <x:v>N/A</x:v>
      </x:c>
      <x:c r="AH4" s="12" t="str">
        <x:f>IF(AND(AB4=AD4,AC4=AE4,AF4=AG4),"PASS","FAIL")</x:f>
        <x:v>PASS</x:v>
      </x:c>
      <x:c r="AI4" s="12" t="str">
        <x:v>Synthetic scenario only; not real source data and not eligible for real-world posting.</x:v>
      </x:c>
      <x:c r="AJ4" s="48" t="str">
        <x:v>simulated</x:v>
      </x:c>
    </x:row>
    <x:row r="5">
      <x:c r="A5" s="12" t="str">
        <x:v>PT-004</x:v>
      </x:c>
      <x:c r="B5" s="12" t="str">
        <x:v>Negative</x:v>
      </x:c>
      <x:c r="C5" s="12" t="str">
        <x:v>Negative activity volume</x:v>
      </x:c>
      <x:c r="D5" s="12" t="str">
        <x:v>PT-LR-004</x:v>
      </x:c>
      <x:c r="E5" s="12" t="str">
        <x:v>PT-TRIP-004</x:v>
      </x:c>
      <x:c r="F5" s="12" t="str">
        <x:v>PT-VH-004</x:v>
      </x:c>
      <x:c r="G5" s="12" t="str">
        <x:v>2026-10-09</x:v>
      </x:c>
      <x:c r="H5" s="12" t="str">
        <x:v>柴油消耗</x:v>
      </x:c>
      <x:c r="I5" s="12" t="n">
        <x:v>-8</x:v>
      </x:c>
      <x:c r="J5" s="12" t="str">
        <x:v>L</x:v>
      </x:c>
      <x:c r="K5" s="12" t="n">
        <x:v>50</x:v>
      </x:c>
      <x:c r="L5" s="12" t="n">
        <x:v>1</x:v>
      </x:c>
      <x:c r="M5" s="12" t="str">
        <x:v>PT-SRCROW-004</x:v>
      </x:c>
      <x:c r="N5" s="12" t="n">
        <x:v>3.16</x:v>
      </x:c>
      <x:c r="O5" s="12" t="str">
        <x:v>kgCO2e/L</x:v>
      </x:c>
      <x:c r="P5" s="12" t="str">
        <x:v>proxy_pending_verification</x:v>
      </x:c>
      <x:c r="Q5" s="12" t="str">
        <x:v>simulated</x:v>
      </x:c>
      <x:c r="R5" s="12" t="str">
        <x:v>yes</x:v>
      </x:c>
      <x:c r="S5" s="12" t="str">
        <x:v>EVD-TEST-PT-004</x:v>
      </x:c>
      <x:c r="T5" s="12" t="str">
        <x:v>RUN-TEST-PT-004</x:v>
      </x:c>
      <x:c r="U5" s="12" t="str">
        <x:v>not approved</x:v>
      </x:c>
      <x:c r="V5" s="12" t="str">
        <x:v>yes</x:v>
      </x:c>
      <x:c r="W5" s="12" t="str"/>
      <x:c r="X5" s="12"/>
      <x:c r="Y5" s="12"/>
      <x:c r="Z5" s="12" t="str">
        <x:f>IF(OR(F5="",G5="",H5="",COUNT(I5)=0,J5="",COUNT(K5)=0,COUNT(L5)=0),"",UPPER(F5&amp;"|"&amp;G5&amp;"|"&amp;H5&amp;"|"&amp;TEXT(K5,"0.000")&amp;"|"&amp;TEXT(L5,"0.000")&amp;"|"&amp;TEXT(I5,"0.000")&amp;"|"&amp;J5))</x:f>
        <x:v>PT-VH-004|2026-10-09|柴油消耗|50.000|1.000|-8.000|L</x:v>
      </x:c>
      <x:c r="AA5" s="12" t="str">
        <x:f>IF(D5="","N/A",IF(OR(AND(E5&lt;&gt;"",COUNTIF(Trip_Detail!$C$2:$C$101,E5)&gt;0),AND(M5&lt;&gt;"",COUNTIF(Trip_Detail!$AE$2:$AE$101,M5)&gt;0),AND(Z5&lt;&gt;"",COUNTIF(Trip_Detail!$AM$2:$AM$101,Z5)&gt;0),COUNTIF($E$2:$E$100,E5)&gt;1,COUNTIF($M$2:$M$100,M5)&gt;1,COUNTIF($Z$2:$Z$100,Z5)&gt;1),"BLOCK_POSSIBLE_PHYSICAL_DUPLICATE","PASS_UNIQUE_PHYSICAL_TRIP"))</x:f>
        <x:v>PASS_UNIQUE_PHYSICAL_TRIP</x:v>
      </x:c>
      <x:c r="AB5" s="12" t="str">
        <x:f>IF(D5="","N/A",IF(OR(F5="",G5="",H5="",COUNT(I5)=0,J5="",COUNT(K5)=0,COUNT(L5)=0,M5="",COUNT(N5)=0,O5="",S5="",T5=""),"BLOCK_MISSING_REQUIRED",IF(I5&lt;0,"BLOCK_NEGATIVE_ACTIVITY",IF(AND(J5&lt;&gt;"L",J5&lt;&gt;"kWh",J5&lt;&gt;"km",J5&lt;&gt;"t"),"BLOCK_UNSUPPORTED_UNIT",IF(OR(AND(J5="L",O5&lt;&gt;"kgCO2e/L"),AND(J5="kWh",O5&lt;&gt;"kgCO2e/kWh"),AND(J5="km",O5&lt;&gt;"kgCO2e/km"),AND(J5="t",O5&lt;&gt;"kgCO2e/t")),"BLOCK_UNIT_MISMATCH",IF(OR(COUNTIF(Trip_Detail!$A$2:$A$101,D5)&gt;0,COUNTIF($D$2:$D$100,D5)&gt;1),"BLOCK_DUPLICATE_LEDGER_ID",IF(AA5&lt;&gt;"PASS_UNIQUE_PHYSICAL_TRIP","BLOCK_POSSIBLE_PHYSICAL_DUPLICATE",IF(AND(Q5="simulated",R5="yes"),"PASS_SIMULATED_ONLY",IF(AND(Q5="actual",R5&lt;&gt;"yes",P5="factor_verified",S5&lt;&gt;"",T5&lt;&gt;"",M5&lt;&gt;""),"PASS_FORMAL_PRECHECK","REVIEW_DATA_STATUS")))))))))</x:f>
        <x:v>BLOCK_NEGATIVE_ACTIVITY</x:v>
      </x:c>
      <x:c r="AC5" s="12" t="str">
        <x:f>IF(D5="","N/A",IF(AND(Q5="actual",R5&lt;&gt;"yes",P5="factor_verified",AB5="PASS_FORMAL_PRECHECK",AA5="PASS_UNIQUE_PHYSICAL_TRIP",U5="approved",S5&lt;&gt;"",T5&lt;&gt;"",M5&lt;&gt;""),"FORMAL_APPROVED","EXCLUDED_NOT_FORMALLY_APPROVED"))</x:f>
        <x:v>EXCLUDED_NOT_FORMALLY_APPROVED</x:v>
      </x:c>
      <x:c r="AD5" s="12" t="str">
        <x:v>BLOCK_NEGATIVE_ACTIVITY</x:v>
      </x:c>
      <x:c r="AE5" s="12" t="str">
        <x:v>EXCLUDED_NOT_FORMALLY_APPROVED</x:v>
      </x:c>
      <x:c r="AF5" s="12" t="str">
        <x:f>IF(W5="","N/A",IF(ABS(SUMIF($W$2:$W$100,W5,$X$2:$X$100)-1)&lt;=0.000001,"PASS_ALLOCATION","BLOCK_ALLOCATION_SUM"))</x:f>
        <x:v>N/A</x:v>
      </x:c>
      <x:c r="AG5" s="12" t="str">
        <x:v>N/A</x:v>
      </x:c>
      <x:c r="AH5" s="12" t="str">
        <x:f>IF(AND(AB5=AD5,AC5=AE5,AF5=AG5),"PASS","FAIL")</x:f>
        <x:v>PASS</x:v>
      </x:c>
      <x:c r="AI5" s="12" t="str">
        <x:v>Synthetic scenario only; not real source data and not eligible for real-world posting.</x:v>
      </x:c>
      <x:c r="AJ5" s="48" t="str">
        <x:v>simulated</x:v>
      </x:c>
    </x:row>
    <x:row r="6">
      <x:c r="A6" s="12" t="str">
        <x:v>PT-005</x:v>
      </x:c>
      <x:c r="B6" s="12" t="str">
        <x:v>Missing</x:v>
      </x:c>
      <x:c r="C6" s="12" t="str">
        <x:v>Missing emission factor</x:v>
      </x:c>
      <x:c r="D6" s="12" t="str">
        <x:v>PT-LR-005</x:v>
      </x:c>
      <x:c r="E6" s="12" t="str">
        <x:v>PT-TRIP-005</x:v>
      </x:c>
      <x:c r="F6" s="12" t="str">
        <x:v>PT-VH-005</x:v>
      </x:c>
      <x:c r="G6" s="12" t="str">
        <x:v>2026-10-10</x:v>
      </x:c>
      <x:c r="H6" s="12" t="str">
        <x:v>柴油消耗</x:v>
      </x:c>
      <x:c r="I6" s="12" t="n">
        <x:v>50</x:v>
      </x:c>
      <x:c r="J6" s="12" t="str">
        <x:v>L</x:v>
      </x:c>
      <x:c r="K6" s="12" t="n">
        <x:v>80</x:v>
      </x:c>
      <x:c r="L6" s="12" t="n">
        <x:v>1</x:v>
      </x:c>
      <x:c r="M6" s="12" t="str">
        <x:v>PT-SRCROW-005</x:v>
      </x:c>
      <x:c r="N6" s="12"/>
      <x:c r="O6" s="12" t="str">
        <x:v>kgCO2e/L</x:v>
      </x:c>
      <x:c r="P6" s="12" t="str">
        <x:v>proxy_pending_verification</x:v>
      </x:c>
      <x:c r="Q6" s="12" t="str">
        <x:v>simulated</x:v>
      </x:c>
      <x:c r="R6" s="12" t="str">
        <x:v>yes</x:v>
      </x:c>
      <x:c r="S6" s="12" t="str">
        <x:v>EVD-TEST-PT-005</x:v>
      </x:c>
      <x:c r="T6" s="12" t="str">
        <x:v>RUN-TEST-PT-005</x:v>
      </x:c>
      <x:c r="U6" s="12" t="str">
        <x:v>not approved</x:v>
      </x:c>
      <x:c r="V6" s="12" t="str">
        <x:v>yes</x:v>
      </x:c>
      <x:c r="W6" s="12" t="str"/>
      <x:c r="X6" s="12"/>
      <x:c r="Y6" s="12"/>
      <x:c r="Z6" s="12" t="str">
        <x:f>IF(OR(F6="",G6="",H6="",COUNT(I6)=0,J6="",COUNT(K6)=0,COUNT(L6)=0),"",UPPER(F6&amp;"|"&amp;G6&amp;"|"&amp;H6&amp;"|"&amp;TEXT(K6,"0.000")&amp;"|"&amp;TEXT(L6,"0.000")&amp;"|"&amp;TEXT(I6,"0.000")&amp;"|"&amp;J6))</x:f>
        <x:v>PT-VH-005|2026-10-10|柴油消耗|80.000|1.000|50.000|L</x:v>
      </x:c>
      <x:c r="AA6" s="12" t="str">
        <x:f>IF(D6="","N/A",IF(OR(AND(E6&lt;&gt;"",COUNTIF(Trip_Detail!$C$2:$C$101,E6)&gt;0),AND(M6&lt;&gt;"",COUNTIF(Trip_Detail!$AE$2:$AE$101,M6)&gt;0),AND(Z6&lt;&gt;"",COUNTIF(Trip_Detail!$AM$2:$AM$101,Z6)&gt;0),COUNTIF($E$2:$E$100,E6)&gt;1,COUNTIF($M$2:$M$100,M6)&gt;1,COUNTIF($Z$2:$Z$100,Z6)&gt;1),"BLOCK_POSSIBLE_PHYSICAL_DUPLICATE","PASS_UNIQUE_PHYSICAL_TRIP"))</x:f>
        <x:v>PASS_UNIQUE_PHYSICAL_TRIP</x:v>
      </x:c>
      <x:c r="AB6" s="12" t="str">
        <x:f>IF(D6="","N/A",IF(OR(F6="",G6="",H6="",COUNT(I6)=0,J6="",COUNT(K6)=0,COUNT(L6)=0,M6="",COUNT(N6)=0,O6="",S6="",T6=""),"BLOCK_MISSING_REQUIRED",IF(I6&lt;0,"BLOCK_NEGATIVE_ACTIVITY",IF(AND(J6&lt;&gt;"L",J6&lt;&gt;"kWh",J6&lt;&gt;"km",J6&lt;&gt;"t"),"BLOCK_UNSUPPORTED_UNIT",IF(OR(AND(J6="L",O6&lt;&gt;"kgCO2e/L"),AND(J6="kWh",O6&lt;&gt;"kgCO2e/kWh"),AND(J6="km",O6&lt;&gt;"kgCO2e/km"),AND(J6="t",O6&lt;&gt;"kgCO2e/t")),"BLOCK_UNIT_MISMATCH",IF(OR(COUNTIF(Trip_Detail!$A$2:$A$101,D6)&gt;0,COUNTIF($D$2:$D$100,D6)&gt;1),"BLOCK_DUPLICATE_LEDGER_ID",IF(AA6&lt;&gt;"PASS_UNIQUE_PHYSICAL_TRIP","BLOCK_POSSIBLE_PHYSICAL_DUPLICATE",IF(AND(Q6="simulated",R6="yes"),"PASS_SIMULATED_ONLY",IF(AND(Q6="actual",R6&lt;&gt;"yes",P6="factor_verified",S6&lt;&gt;"",T6&lt;&gt;"",M6&lt;&gt;""),"PASS_FORMAL_PRECHECK","REVIEW_DATA_STATUS")))))))))</x:f>
        <x:v>BLOCK_MISSING_REQUIRED</x:v>
      </x:c>
      <x:c r="AC6" s="12" t="str">
        <x:f>IF(D6="","N/A",IF(AND(Q6="actual",R6&lt;&gt;"yes",P6="factor_verified",AB6="PASS_FORMAL_PRECHECK",AA6="PASS_UNIQUE_PHYSICAL_TRIP",U6="approved",S6&lt;&gt;"",T6&lt;&gt;"",M6&lt;&gt;""),"FORMAL_APPROVED","EXCLUDED_NOT_FORMALLY_APPROVED"))</x:f>
        <x:v>EXCLUDED_NOT_FORMALLY_APPROVED</x:v>
      </x:c>
      <x:c r="AD6" s="12" t="str">
        <x:v>BLOCK_MISSING_REQUIRED</x:v>
      </x:c>
      <x:c r="AE6" s="12" t="str">
        <x:v>EXCLUDED_NOT_FORMALLY_APPROVED</x:v>
      </x:c>
      <x:c r="AF6" s="12" t="str">
        <x:f>IF(W6="","N/A",IF(ABS(SUMIF($W$2:$W$100,W6,$X$2:$X$100)-1)&lt;=0.000001,"PASS_ALLOCATION","BLOCK_ALLOCATION_SUM"))</x:f>
        <x:v>N/A</x:v>
      </x:c>
      <x:c r="AG6" s="12" t="str">
        <x:v>N/A</x:v>
      </x:c>
      <x:c r="AH6" s="12" t="str">
        <x:f>IF(AND(AB6=AD6,AC6=AE6,AF6=AG6),"PASS","FAIL")</x:f>
        <x:v>PASS</x:v>
      </x:c>
      <x:c r="AI6" s="12" t="str">
        <x:v>Synthetic scenario only; not real source data and not eligible for real-world posting.</x:v>
      </x:c>
      <x:c r="AJ6" s="48" t="str">
        <x:v>simulated</x:v>
      </x:c>
    </x:row>
    <x:row r="7">
      <x:c r="A7" s="12" t="str">
        <x:v>PT-006</x:v>
      </x:c>
      <x:c r="B7" s="12" t="str">
        <x:v>Units</x:v>
      </x:c>
      <x:c r="C7" s="12" t="str">
        <x:v>Diesel activity with electricity factor</x:v>
      </x:c>
      <x:c r="D7" s="12" t="str">
        <x:v>PT-LR-006</x:v>
      </x:c>
      <x:c r="E7" s="12" t="str">
        <x:v>PT-TRIP-006</x:v>
      </x:c>
      <x:c r="F7" s="12" t="str">
        <x:v>PT-VH-006</x:v>
      </x:c>
      <x:c r="G7" s="12" t="str">
        <x:v>2026-10-11</x:v>
      </x:c>
      <x:c r="H7" s="12" t="str">
        <x:v>柴油消耗</x:v>
      </x:c>
      <x:c r="I7" s="12" t="n">
        <x:v>50</x:v>
      </x:c>
      <x:c r="J7" s="12" t="str">
        <x:v>L</x:v>
      </x:c>
      <x:c r="K7" s="12" t="n">
        <x:v>80</x:v>
      </x:c>
      <x:c r="L7" s="12" t="n">
        <x:v>1</x:v>
      </x:c>
      <x:c r="M7" s="12" t="str">
        <x:v>PT-SRCROW-006</x:v>
      </x:c>
      <x:c r="N7" s="12" t="n">
        <x:v>0.5568</x:v>
      </x:c>
      <x:c r="O7" s="12" t="str">
        <x:v>kgCO2e/kWh</x:v>
      </x:c>
      <x:c r="P7" s="12" t="str">
        <x:v>proxy_pending_verification</x:v>
      </x:c>
      <x:c r="Q7" s="12" t="str">
        <x:v>simulated</x:v>
      </x:c>
      <x:c r="R7" s="12" t="str">
        <x:v>yes</x:v>
      </x:c>
      <x:c r="S7" s="12" t="str">
        <x:v>EVD-TEST-PT-006</x:v>
      </x:c>
      <x:c r="T7" s="12" t="str">
        <x:v>RUN-TEST-PT-006</x:v>
      </x:c>
      <x:c r="U7" s="12" t="str">
        <x:v>not approved</x:v>
      </x:c>
      <x:c r="V7" s="12" t="str">
        <x:v>yes</x:v>
      </x:c>
      <x:c r="W7" s="12" t="str"/>
      <x:c r="X7" s="12"/>
      <x:c r="Y7" s="12"/>
      <x:c r="Z7" s="12" t="str">
        <x:f>IF(OR(F7="",G7="",H7="",COUNT(I7)=0,J7="",COUNT(K7)=0,COUNT(L7)=0),"",UPPER(F7&amp;"|"&amp;G7&amp;"|"&amp;H7&amp;"|"&amp;TEXT(K7,"0.000")&amp;"|"&amp;TEXT(L7,"0.000")&amp;"|"&amp;TEXT(I7,"0.000")&amp;"|"&amp;J7))</x:f>
        <x:v>PT-VH-006|2026-10-11|柴油消耗|80.000|1.000|50.000|L</x:v>
      </x:c>
      <x:c r="AA7" s="12" t="str">
        <x:f>IF(D7="","N/A",IF(OR(AND(E7&lt;&gt;"",COUNTIF(Trip_Detail!$C$2:$C$101,E7)&gt;0),AND(M7&lt;&gt;"",COUNTIF(Trip_Detail!$AE$2:$AE$101,M7)&gt;0),AND(Z7&lt;&gt;"",COUNTIF(Trip_Detail!$AM$2:$AM$101,Z7)&gt;0),COUNTIF($E$2:$E$100,E7)&gt;1,COUNTIF($M$2:$M$100,M7)&gt;1,COUNTIF($Z$2:$Z$100,Z7)&gt;1),"BLOCK_POSSIBLE_PHYSICAL_DUPLICATE","PASS_UNIQUE_PHYSICAL_TRIP"))</x:f>
        <x:v>PASS_UNIQUE_PHYSICAL_TRIP</x:v>
      </x:c>
      <x:c r="AB7" s="12" t="str">
        <x:f>IF(D7="","N/A",IF(OR(F7="",G7="",H7="",COUNT(I7)=0,J7="",COUNT(K7)=0,COUNT(L7)=0,M7="",COUNT(N7)=0,O7="",S7="",T7=""),"BLOCK_MISSING_REQUIRED",IF(I7&lt;0,"BLOCK_NEGATIVE_ACTIVITY",IF(AND(J7&lt;&gt;"L",J7&lt;&gt;"kWh",J7&lt;&gt;"km",J7&lt;&gt;"t"),"BLOCK_UNSUPPORTED_UNIT",IF(OR(AND(J7="L",O7&lt;&gt;"kgCO2e/L"),AND(J7="kWh",O7&lt;&gt;"kgCO2e/kWh"),AND(J7="km",O7&lt;&gt;"kgCO2e/km"),AND(J7="t",O7&lt;&gt;"kgCO2e/t")),"BLOCK_UNIT_MISMATCH",IF(OR(COUNTIF(Trip_Detail!$A$2:$A$101,D7)&gt;0,COUNTIF($D$2:$D$100,D7)&gt;1),"BLOCK_DUPLICATE_LEDGER_ID",IF(AA7&lt;&gt;"PASS_UNIQUE_PHYSICAL_TRIP","BLOCK_POSSIBLE_PHYSICAL_DUPLICATE",IF(AND(Q7="simulated",R7="yes"),"PASS_SIMULATED_ONLY",IF(AND(Q7="actual",R7&lt;&gt;"yes",P7="factor_verified",S7&lt;&gt;"",T7&lt;&gt;"",M7&lt;&gt;""),"PASS_FORMAL_PRECHECK","REVIEW_DATA_STATUS")))))))))</x:f>
        <x:v>BLOCK_UNIT_MISMATCH</x:v>
      </x:c>
      <x:c r="AC7" s="12" t="str">
        <x:f>IF(D7="","N/A",IF(AND(Q7="actual",R7&lt;&gt;"yes",P7="factor_verified",AB7="PASS_FORMAL_PRECHECK",AA7="PASS_UNIQUE_PHYSICAL_TRIP",U7="approved",S7&lt;&gt;"",T7&lt;&gt;"",M7&lt;&gt;""),"FORMAL_APPROVED","EXCLUDED_NOT_FORMALLY_APPROVED"))</x:f>
        <x:v>EXCLUDED_NOT_FORMALLY_APPROVED</x:v>
      </x:c>
      <x:c r="AD7" s="12" t="str">
        <x:v>BLOCK_UNIT_MISMATCH</x:v>
      </x:c>
      <x:c r="AE7" s="12" t="str">
        <x:v>EXCLUDED_NOT_FORMALLY_APPROVED</x:v>
      </x:c>
      <x:c r="AF7" s="12" t="str">
        <x:f>IF(W7="","N/A",IF(ABS(SUMIF($W$2:$W$100,W7,$X$2:$X$100)-1)&lt;=0.000001,"PASS_ALLOCATION","BLOCK_ALLOCATION_SUM"))</x:f>
        <x:v>N/A</x:v>
      </x:c>
      <x:c r="AG7" s="12" t="str">
        <x:v>N/A</x:v>
      </x:c>
      <x:c r="AH7" s="12" t="str">
        <x:f>IF(AND(AB7=AD7,AC7=AE7,AF7=AG7),"PASS","FAIL")</x:f>
        <x:v>PASS</x:v>
      </x:c>
      <x:c r="AI7" s="12" t="str">
        <x:v>Synthetic scenario only; not real source data and not eligible for real-world posting.</x:v>
      </x:c>
      <x:c r="AJ7" s="48" t="str">
        <x:v>simulated</x:v>
      </x:c>
    </x:row>
    <x:row r="8">
      <x:c r="A8" s="12" t="str">
        <x:v>PT-007</x:v>
      </x:c>
      <x:c r="B8" s="12" t="str">
        <x:v>Duplicates</x:v>
      </x:c>
      <x:c r="C8" s="12" t="str">
        <x:v>Existing ledger row ID re-imported</x:v>
      </x:c>
      <x:c r="D8" s="12" t="str">
        <x:v>LR-SIM-0001</x:v>
      </x:c>
      <x:c r="E8" s="12" t="str">
        <x:v>PT-TRIP-007</x:v>
      </x:c>
      <x:c r="F8" s="12" t="str">
        <x:v>PT-VH-007</x:v>
      </x:c>
      <x:c r="G8" s="12" t="str">
        <x:v>2026-10-12</x:v>
      </x:c>
      <x:c r="H8" s="12" t="str">
        <x:v>柴油消耗</x:v>
      </x:c>
      <x:c r="I8" s="12" t="n">
        <x:v>25</x:v>
      </x:c>
      <x:c r="J8" s="12" t="str">
        <x:v>L</x:v>
      </x:c>
      <x:c r="K8" s="12" t="n">
        <x:v>80</x:v>
      </x:c>
      <x:c r="L8" s="12" t="n">
        <x:v>1</x:v>
      </x:c>
      <x:c r="M8" s="12" t="str">
        <x:v>PT-SRCROW-007</x:v>
      </x:c>
      <x:c r="N8" s="12" t="n">
        <x:v>3.16</x:v>
      </x:c>
      <x:c r="O8" s="12" t="str">
        <x:v>kgCO2e/L</x:v>
      </x:c>
      <x:c r="P8" s="12" t="str">
        <x:v>proxy_pending_verification</x:v>
      </x:c>
      <x:c r="Q8" s="12" t="str">
        <x:v>simulated</x:v>
      </x:c>
      <x:c r="R8" s="12" t="str">
        <x:v>yes</x:v>
      </x:c>
      <x:c r="S8" s="12" t="str">
        <x:v>EVD-TEST-PT-007</x:v>
      </x:c>
      <x:c r="T8" s="12" t="str">
        <x:v>RUN-TEST-PT-007</x:v>
      </x:c>
      <x:c r="U8" s="12" t="str">
        <x:v>not approved</x:v>
      </x:c>
      <x:c r="V8" s="12" t="str">
        <x:v>yes</x:v>
      </x:c>
      <x:c r="W8" s="12" t="str"/>
      <x:c r="X8" s="12"/>
      <x:c r="Y8" s="12"/>
      <x:c r="Z8" s="12" t="str">
        <x:f>IF(OR(F8="",G8="",H8="",COUNT(I8)=0,J8="",COUNT(K8)=0,COUNT(L8)=0),"",UPPER(F8&amp;"|"&amp;G8&amp;"|"&amp;H8&amp;"|"&amp;TEXT(K8,"0.000")&amp;"|"&amp;TEXT(L8,"0.000")&amp;"|"&amp;TEXT(I8,"0.000")&amp;"|"&amp;J8))</x:f>
        <x:v>PT-VH-007|2026-10-12|柴油消耗|80.000|1.000|25.000|L</x:v>
      </x:c>
      <x:c r="AA8" s="12" t="str">
        <x:f>IF(D8="","N/A",IF(OR(AND(E8&lt;&gt;"",COUNTIF(Trip_Detail!$C$2:$C$101,E8)&gt;0),AND(M8&lt;&gt;"",COUNTIF(Trip_Detail!$AE$2:$AE$101,M8)&gt;0),AND(Z8&lt;&gt;"",COUNTIF(Trip_Detail!$AM$2:$AM$101,Z8)&gt;0),COUNTIF($E$2:$E$100,E8)&gt;1,COUNTIF($M$2:$M$100,M8)&gt;1,COUNTIF($Z$2:$Z$100,Z8)&gt;1),"BLOCK_POSSIBLE_PHYSICAL_DUPLICATE","PASS_UNIQUE_PHYSICAL_TRIP"))</x:f>
        <x:v>PASS_UNIQUE_PHYSICAL_TRIP</x:v>
      </x:c>
      <x:c r="AB8" s="12" t="str">
        <x:f>IF(D8="","N/A",IF(OR(F8="",G8="",H8="",COUNT(I8)=0,J8="",COUNT(K8)=0,COUNT(L8)=0,M8="",COUNT(N8)=0,O8="",S8="",T8=""),"BLOCK_MISSING_REQUIRED",IF(I8&lt;0,"BLOCK_NEGATIVE_ACTIVITY",IF(AND(J8&lt;&gt;"L",J8&lt;&gt;"kWh",J8&lt;&gt;"km",J8&lt;&gt;"t"),"BLOCK_UNSUPPORTED_UNIT",IF(OR(AND(J8="L",O8&lt;&gt;"kgCO2e/L"),AND(J8="kWh",O8&lt;&gt;"kgCO2e/kWh"),AND(J8="km",O8&lt;&gt;"kgCO2e/km"),AND(J8="t",O8&lt;&gt;"kgCO2e/t")),"BLOCK_UNIT_MISMATCH",IF(OR(COUNTIF(Trip_Detail!$A$2:$A$101,D8)&gt;0,COUNTIF($D$2:$D$100,D8)&gt;1),"BLOCK_DUPLICATE_LEDGER_ID",IF(AA8&lt;&gt;"PASS_UNIQUE_PHYSICAL_TRIP","BLOCK_POSSIBLE_PHYSICAL_DUPLICATE",IF(AND(Q8="simulated",R8="yes"),"PASS_SIMULATED_ONLY",IF(AND(Q8="actual",R8&lt;&gt;"yes",P8="factor_verified",S8&lt;&gt;"",T8&lt;&gt;"",M8&lt;&gt;""),"PASS_FORMAL_PRECHECK","REVIEW_DATA_STATUS")))))))))</x:f>
        <x:v>BLOCK_DUPLICATE_LEDGER_ID</x:v>
      </x:c>
      <x:c r="AC8" s="12" t="str">
        <x:f>IF(D8="","N/A",IF(AND(Q8="actual",R8&lt;&gt;"yes",P8="factor_verified",AB8="PASS_FORMAL_PRECHECK",AA8="PASS_UNIQUE_PHYSICAL_TRIP",U8="approved",S8&lt;&gt;"",T8&lt;&gt;"",M8&lt;&gt;""),"FORMAL_APPROVED","EXCLUDED_NOT_FORMALLY_APPROVED"))</x:f>
        <x:v>EXCLUDED_NOT_FORMALLY_APPROVED</x:v>
      </x:c>
      <x:c r="AD8" s="12" t="str">
        <x:v>BLOCK_DUPLICATE_LEDGER_ID</x:v>
      </x:c>
      <x:c r="AE8" s="12" t="str">
        <x:v>EXCLUDED_NOT_FORMALLY_APPROVED</x:v>
      </x:c>
      <x:c r="AF8" s="12" t="str">
        <x:f>IF(W8="","N/A",IF(ABS(SUMIF($W$2:$W$100,W8,$X$2:$X$100)-1)&lt;=0.000001,"PASS_ALLOCATION","BLOCK_ALLOCATION_SUM"))</x:f>
        <x:v>N/A</x:v>
      </x:c>
      <x:c r="AG8" s="12" t="str">
        <x:v>N/A</x:v>
      </x:c>
      <x:c r="AH8" s="12" t="str">
        <x:f>IF(AND(AB8=AD8,AC8=AE8,AF8=AG8),"PASS","FAIL")</x:f>
        <x:v>PASS</x:v>
      </x:c>
      <x:c r="AI8" s="12" t="str">
        <x:v>Synthetic scenario only; not real source data and not eligible for real-world posting.</x:v>
      </x:c>
      <x:c r="AJ8" s="48" t="str">
        <x:v>simulated</x:v>
      </x:c>
    </x:row>
    <x:row r="9">
      <x:c r="A9" s="12" t="str">
        <x:v>PT-008</x:v>
      </x:c>
      <x:c r="B9" s="12" t="str">
        <x:v>Duplicates</x:v>
      </x:c>
      <x:c r="C9" s="12" t="str">
        <x:v>Existing physical Trip_ID with a new ledger ID</x:v>
      </x:c>
      <x:c r="D9" s="12" t="str">
        <x:v>PT-LR-008</x:v>
      </x:c>
      <x:c r="E9" s="12" t="str">
        <x:v>TRIP-SIM-001</x:v>
      </x:c>
      <x:c r="F9" s="12" t="str">
        <x:v>PT-VH-008</x:v>
      </x:c>
      <x:c r="G9" s="12" t="str">
        <x:v>2026-10-13</x:v>
      </x:c>
      <x:c r="H9" s="12" t="str">
        <x:v>柴油消耗</x:v>
      </x:c>
      <x:c r="I9" s="12" t="n">
        <x:v>27</x:v>
      </x:c>
      <x:c r="J9" s="12" t="str">
        <x:v>L</x:v>
      </x:c>
      <x:c r="K9" s="12" t="n">
        <x:v>81</x:v>
      </x:c>
      <x:c r="L9" s="12" t="n">
        <x:v>1.1</x:v>
      </x:c>
      <x:c r="M9" s="12" t="str">
        <x:v>PT-SRCROW-008</x:v>
      </x:c>
      <x:c r="N9" s="12" t="n">
        <x:v>3.16</x:v>
      </x:c>
      <x:c r="O9" s="12" t="str">
        <x:v>kgCO2e/L</x:v>
      </x:c>
      <x:c r="P9" s="12" t="str">
        <x:v>proxy_pending_verification</x:v>
      </x:c>
      <x:c r="Q9" s="12" t="str">
        <x:v>simulated</x:v>
      </x:c>
      <x:c r="R9" s="12" t="str">
        <x:v>yes</x:v>
      </x:c>
      <x:c r="S9" s="12" t="str">
        <x:v>EVD-TEST-PT-008</x:v>
      </x:c>
      <x:c r="T9" s="12" t="str">
        <x:v>RUN-TEST-PT-008</x:v>
      </x:c>
      <x:c r="U9" s="12" t="str">
        <x:v>not approved</x:v>
      </x:c>
      <x:c r="V9" s="12" t="str">
        <x:v>yes</x:v>
      </x:c>
      <x:c r="W9" s="12" t="str"/>
      <x:c r="X9" s="12"/>
      <x:c r="Y9" s="12"/>
      <x:c r="Z9" s="12" t="str">
        <x:f>IF(OR(F9="",G9="",H9="",COUNT(I9)=0,J9="",COUNT(K9)=0,COUNT(L9)=0),"",UPPER(F9&amp;"|"&amp;G9&amp;"|"&amp;H9&amp;"|"&amp;TEXT(K9,"0.000")&amp;"|"&amp;TEXT(L9,"0.000")&amp;"|"&amp;TEXT(I9,"0.000")&amp;"|"&amp;J9))</x:f>
        <x:v>PT-VH-008|2026-10-13|柴油消耗|81.000|1.100|27.000|L</x:v>
      </x:c>
      <x:c r="AA9" s="12" t="str">
        <x:f>IF(D9="","N/A",IF(OR(AND(E9&lt;&gt;"",COUNTIF(Trip_Detail!$C$2:$C$101,E9)&gt;0),AND(M9&lt;&gt;"",COUNTIF(Trip_Detail!$AE$2:$AE$101,M9)&gt;0),AND(Z9&lt;&gt;"",COUNTIF(Trip_Detail!$AM$2:$AM$101,Z9)&gt;0),COUNTIF($E$2:$E$100,E9)&gt;1,COUNTIF($M$2:$M$100,M9)&gt;1,COUNTIF($Z$2:$Z$100,Z9)&gt;1),"BLOCK_POSSIBLE_PHYSICAL_DUPLICATE","PASS_UNIQUE_PHYSICAL_TRIP"))</x:f>
        <x:v>BLOCK_POSSIBLE_PHYSICAL_DUPLICATE</x:v>
      </x:c>
      <x:c r="AB9" s="12" t="str">
        <x:f>IF(D9="","N/A",IF(OR(F9="",G9="",H9="",COUNT(I9)=0,J9="",COUNT(K9)=0,COUNT(L9)=0,M9="",COUNT(N9)=0,O9="",S9="",T9=""),"BLOCK_MISSING_REQUIRED",IF(I9&lt;0,"BLOCK_NEGATIVE_ACTIVITY",IF(AND(J9&lt;&gt;"L",J9&lt;&gt;"kWh",J9&lt;&gt;"km",J9&lt;&gt;"t"),"BLOCK_UNSUPPORTED_UNIT",IF(OR(AND(J9="L",O9&lt;&gt;"kgCO2e/L"),AND(J9="kWh",O9&lt;&gt;"kgCO2e/kWh"),AND(J9="km",O9&lt;&gt;"kgCO2e/km"),AND(J9="t",O9&lt;&gt;"kgCO2e/t")),"BLOCK_UNIT_MISMATCH",IF(OR(COUNTIF(Trip_Detail!$A$2:$A$101,D9)&gt;0,COUNTIF($D$2:$D$100,D9)&gt;1),"BLOCK_DUPLICATE_LEDGER_ID",IF(AA9&lt;&gt;"PASS_UNIQUE_PHYSICAL_TRIP","BLOCK_POSSIBLE_PHYSICAL_DUPLICATE",IF(AND(Q9="simulated",R9="yes"),"PASS_SIMULATED_ONLY",IF(AND(Q9="actual",R9&lt;&gt;"yes",P9="factor_verified",S9&lt;&gt;"",T9&lt;&gt;"",M9&lt;&gt;""),"PASS_FORMAL_PRECHECK","REVIEW_DATA_STATUS")))))))))</x:f>
        <x:v>BLOCK_POSSIBLE_PHYSICAL_DUPLICATE</x:v>
      </x:c>
      <x:c r="AC9" s="12" t="str">
        <x:f>IF(D9="","N/A",IF(AND(Q9="actual",R9&lt;&gt;"yes",P9="factor_verified",AB9="PASS_FORMAL_PRECHECK",AA9="PASS_UNIQUE_PHYSICAL_TRIP",U9="approved",S9&lt;&gt;"",T9&lt;&gt;"",M9&lt;&gt;""),"FORMAL_APPROVED","EXCLUDED_NOT_FORMALLY_APPROVED"))</x:f>
        <x:v>EXCLUDED_NOT_FORMALLY_APPROVED</x:v>
      </x:c>
      <x:c r="AD9" s="12" t="str">
        <x:v>BLOCK_POSSIBLE_PHYSICAL_DUPLICATE</x:v>
      </x:c>
      <x:c r="AE9" s="12" t="str">
        <x:v>EXCLUDED_NOT_FORMALLY_APPROVED</x:v>
      </x:c>
      <x:c r="AF9" s="12" t="str">
        <x:f>IF(W9="","N/A",IF(ABS(SUMIF($W$2:$W$100,W9,$X$2:$X$100)-1)&lt;=0.000001,"PASS_ALLOCATION","BLOCK_ALLOCATION_SUM"))</x:f>
        <x:v>N/A</x:v>
      </x:c>
      <x:c r="AG9" s="12" t="str">
        <x:v>N/A</x:v>
      </x:c>
      <x:c r="AH9" s="12" t="str">
        <x:f>IF(AND(AB9=AD9,AC9=AE9,AF9=AG9),"PASS","FAIL")</x:f>
        <x:v>PASS</x:v>
      </x:c>
      <x:c r="AI9" s="12" t="str">
        <x:v>Synthetic scenario only; not real source data and not eligible for real-world posting.</x:v>
      </x:c>
      <x:c r="AJ9" s="48" t="str">
        <x:v>simulated</x:v>
      </x:c>
    </x:row>
    <x:row r="10">
      <x:c r="A10" s="12" t="str">
        <x:v>PT-009</x:v>
      </x:c>
      <x:c r="B10" s="12" t="str">
        <x:v>Duplicates</x:v>
      </x:c>
      <x:c r="C10" s="12" t="str">
        <x:v>Same physical trip fingerprint but new IDs</x:v>
      </x:c>
      <x:c r="D10" s="12" t="str">
        <x:v>PT-LR-009</x:v>
      </x:c>
      <x:c r="E10" s="12" t="str">
        <x:v>PT-TRIP-009</x:v>
      </x:c>
      <x:c r="F10" s="12" t="str">
        <x:v>VH-SIM-001</x:v>
      </x:c>
      <x:c r="G10" s="12" t="str">
        <x:v>2026-10-03</x:v>
      </x:c>
      <x:c r="H10" s="12" t="str">
        <x:v>柴油消耗</x:v>
      </x:c>
      <x:c r="I10" s="12" t="n">
        <x:v>65.5</x:v>
      </x:c>
      <x:c r="J10" s="12" t="str">
        <x:v>L</x:v>
      </x:c>
      <x:c r="K10" s="12" t="n">
        <x:v>185</x:v>
      </x:c>
      <x:c r="L10" s="12" t="n">
        <x:v>2.5</x:v>
      </x:c>
      <x:c r="M10" s="12" t="str">
        <x:v>PT-SRCROW-009</x:v>
      </x:c>
      <x:c r="N10" s="12" t="n">
        <x:v>3.16</x:v>
      </x:c>
      <x:c r="O10" s="12" t="str">
        <x:v>kgCO2e/L</x:v>
      </x:c>
      <x:c r="P10" s="12" t="str">
        <x:v>proxy_pending_verification</x:v>
      </x:c>
      <x:c r="Q10" s="12" t="str">
        <x:v>simulated</x:v>
      </x:c>
      <x:c r="R10" s="12" t="str">
        <x:v>yes</x:v>
      </x:c>
      <x:c r="S10" s="12" t="str">
        <x:v>EVD-TEST-PT-009</x:v>
      </x:c>
      <x:c r="T10" s="12" t="str">
        <x:v>RUN-TEST-PT-009</x:v>
      </x:c>
      <x:c r="U10" s="12" t="str">
        <x:v>not approved</x:v>
      </x:c>
      <x:c r="V10" s="12" t="str">
        <x:v>yes</x:v>
      </x:c>
      <x:c r="W10" s="12" t="str"/>
      <x:c r="X10" s="12"/>
      <x:c r="Y10" s="12"/>
      <x:c r="Z10" s="12" t="str">
        <x:f>IF(OR(F10="",G10="",H10="",COUNT(I10)=0,J10="",COUNT(K10)=0,COUNT(L10)=0),"",UPPER(F10&amp;"|"&amp;G10&amp;"|"&amp;H10&amp;"|"&amp;TEXT(K10,"0.000")&amp;"|"&amp;TEXT(L10,"0.000")&amp;"|"&amp;TEXT(I10,"0.000")&amp;"|"&amp;J10))</x:f>
        <x:v>VH-SIM-001|2026-10-03|柴油消耗|185.000|2.500|65.500|L</x:v>
      </x:c>
      <x:c r="AA10" s="12" t="str">
        <x:f>IF(D10="","N/A",IF(OR(AND(E10&lt;&gt;"",COUNTIF(Trip_Detail!$C$2:$C$101,E10)&gt;0),AND(M10&lt;&gt;"",COUNTIF(Trip_Detail!$AE$2:$AE$101,M10)&gt;0),AND(Z10&lt;&gt;"",COUNTIF(Trip_Detail!$AM$2:$AM$101,Z10)&gt;0),COUNTIF($E$2:$E$100,E10)&gt;1,COUNTIF($M$2:$M$100,M10)&gt;1,COUNTIF($Z$2:$Z$100,Z10)&gt;1),"BLOCK_POSSIBLE_PHYSICAL_DUPLICATE","PASS_UNIQUE_PHYSICAL_TRIP"))</x:f>
        <x:v>BLOCK_POSSIBLE_PHYSICAL_DUPLICATE</x:v>
      </x:c>
      <x:c r="AB10" s="12" t="str">
        <x:f>IF(D10="","N/A",IF(OR(F10="",G10="",H10="",COUNT(I10)=0,J10="",COUNT(K10)=0,COUNT(L10)=0,M10="",COUNT(N10)=0,O10="",S10="",T10=""),"BLOCK_MISSING_REQUIRED",IF(I10&lt;0,"BLOCK_NEGATIVE_ACTIVITY",IF(AND(J10&lt;&gt;"L",J10&lt;&gt;"kWh",J10&lt;&gt;"km",J10&lt;&gt;"t"),"BLOCK_UNSUPPORTED_UNIT",IF(OR(AND(J10="L",O10&lt;&gt;"kgCO2e/L"),AND(J10="kWh",O10&lt;&gt;"kgCO2e/kWh"),AND(J10="km",O10&lt;&gt;"kgCO2e/km"),AND(J10="t",O10&lt;&gt;"kgCO2e/t")),"BLOCK_UNIT_MISMATCH",IF(OR(COUNTIF(Trip_Detail!$A$2:$A$101,D10)&gt;0,COUNTIF($D$2:$D$100,D10)&gt;1),"BLOCK_DUPLICATE_LEDGER_ID",IF(AA10&lt;&gt;"PASS_UNIQUE_PHYSICAL_TRIP","BLOCK_POSSIBLE_PHYSICAL_DUPLICATE",IF(AND(Q10="simulated",R10="yes"),"PASS_SIMULATED_ONLY",IF(AND(Q10="actual",R10&lt;&gt;"yes",P10="factor_verified",S10&lt;&gt;"",T10&lt;&gt;"",M10&lt;&gt;""),"PASS_FORMAL_PRECHECK","REVIEW_DATA_STATUS")))))))))</x:f>
        <x:v>BLOCK_POSSIBLE_PHYSICAL_DUPLICATE</x:v>
      </x:c>
      <x:c r="AC10" s="12" t="str">
        <x:f>IF(D10="","N/A",IF(AND(Q10="actual",R10&lt;&gt;"yes",P10="factor_verified",AB10="PASS_FORMAL_PRECHECK",AA10="PASS_UNIQUE_PHYSICAL_TRIP",U10="approved",S10&lt;&gt;"",T10&lt;&gt;"",M10&lt;&gt;""),"FORMAL_APPROVED","EXCLUDED_NOT_FORMALLY_APPROVED"))</x:f>
        <x:v>EXCLUDED_NOT_FORMALLY_APPROVED</x:v>
      </x:c>
      <x:c r="AD10" s="12" t="str">
        <x:v>BLOCK_POSSIBLE_PHYSICAL_DUPLICATE</x:v>
      </x:c>
      <x:c r="AE10" s="12" t="str">
        <x:v>EXCLUDED_NOT_FORMALLY_APPROVED</x:v>
      </x:c>
      <x:c r="AF10" s="12" t="str">
        <x:f>IF(W10="","N/A",IF(ABS(SUMIF($W$2:$W$100,W10,$X$2:$X$100)-1)&lt;=0.000001,"PASS_ALLOCATION","BLOCK_ALLOCATION_SUM"))</x:f>
        <x:v>N/A</x:v>
      </x:c>
      <x:c r="AG10" s="12" t="str">
        <x:v>N/A</x:v>
      </x:c>
      <x:c r="AH10" s="12" t="str">
        <x:f>IF(AND(AB10=AD10,AC10=AE10,AF10=AG10),"PASS","FAIL")</x:f>
        <x:v>PASS</x:v>
      </x:c>
      <x:c r="AI10" s="12" t="str">
        <x:v>Exact candidate fingerprint matches a main simulated row but uses new Trip_ID/Ledger_Row_ID/Run_ID; must freeze and review.</x:v>
      </x:c>
      <x:c r="AJ10" s="48" t="str">
        <x:v>simulated</x:v>
      </x:c>
    </x:row>
    <x:row r="11">
      <x:c r="A11" s="12" t="str">
        <x:v>PT-010</x:v>
      </x:c>
      <x:c r="B11" s="12" t="str">
        <x:v>Duplicates</x:v>
      </x:c>
      <x:c r="C11" s="12" t="str">
        <x:v>Source ledger row reused</x:v>
      </x:c>
      <x:c r="D11" s="12" t="str">
        <x:v>PT-LR-010</x:v>
      </x:c>
      <x:c r="E11" s="12" t="str">
        <x:v>PT-TRIP-010</x:v>
      </x:c>
      <x:c r="F11" s="12" t="str">
        <x:v>PT-VH-010</x:v>
      </x:c>
      <x:c r="G11" s="12" t="str">
        <x:v>2026-10-14</x:v>
      </x:c>
      <x:c r="H11" s="12" t="str">
        <x:v>柴油消耗</x:v>
      </x:c>
      <x:c r="I11" s="12" t="n">
        <x:v>29</x:v>
      </x:c>
      <x:c r="J11" s="12" t="str">
        <x:v>L</x:v>
      </x:c>
      <x:c r="K11" s="12" t="n">
        <x:v>83</x:v>
      </x:c>
      <x:c r="L11" s="12" t="n">
        <x:v>1.2</x:v>
      </x:c>
      <x:c r="M11" s="12" t="str">
        <x:v>SYNTHETIC-ROW-001</x:v>
      </x:c>
      <x:c r="N11" s="12" t="n">
        <x:v>3.16</x:v>
      </x:c>
      <x:c r="O11" s="12" t="str">
        <x:v>kgCO2e/L</x:v>
      </x:c>
      <x:c r="P11" s="12" t="str">
        <x:v>proxy_pending_verification</x:v>
      </x:c>
      <x:c r="Q11" s="12" t="str">
        <x:v>simulated</x:v>
      </x:c>
      <x:c r="R11" s="12" t="str">
        <x:v>yes</x:v>
      </x:c>
      <x:c r="S11" s="12" t="str">
        <x:v>EVD-TEST-PT-010</x:v>
      </x:c>
      <x:c r="T11" s="12" t="str">
        <x:v>RUN-TEST-PT-010</x:v>
      </x:c>
      <x:c r="U11" s="12" t="str">
        <x:v>not approved</x:v>
      </x:c>
      <x:c r="V11" s="12" t="str">
        <x:v>yes</x:v>
      </x:c>
      <x:c r="W11" s="12" t="str"/>
      <x:c r="X11" s="12"/>
      <x:c r="Y11" s="12"/>
      <x:c r="Z11" s="12" t="str">
        <x:f>IF(OR(F11="",G11="",H11="",COUNT(I11)=0,J11="",COUNT(K11)=0,COUNT(L11)=0),"",UPPER(F11&amp;"|"&amp;G11&amp;"|"&amp;H11&amp;"|"&amp;TEXT(K11,"0.000")&amp;"|"&amp;TEXT(L11,"0.000")&amp;"|"&amp;TEXT(I11,"0.000")&amp;"|"&amp;J11))</x:f>
        <x:v>PT-VH-010|2026-10-14|柴油消耗|83.000|1.200|29.000|L</x:v>
      </x:c>
      <x:c r="AA11" s="12" t="str">
        <x:f>IF(D11="","N/A",IF(OR(AND(E11&lt;&gt;"",COUNTIF(Trip_Detail!$C$2:$C$101,E11)&gt;0),AND(M11&lt;&gt;"",COUNTIF(Trip_Detail!$AE$2:$AE$101,M11)&gt;0),AND(Z11&lt;&gt;"",COUNTIF(Trip_Detail!$AM$2:$AM$101,Z11)&gt;0),COUNTIF($E$2:$E$100,E11)&gt;1,COUNTIF($M$2:$M$100,M11)&gt;1,COUNTIF($Z$2:$Z$100,Z11)&gt;1),"BLOCK_POSSIBLE_PHYSICAL_DUPLICATE","PASS_UNIQUE_PHYSICAL_TRIP"))</x:f>
        <x:v>BLOCK_POSSIBLE_PHYSICAL_DUPLICATE</x:v>
      </x:c>
      <x:c r="AB11" s="12" t="str">
        <x:f>IF(D11="","N/A",IF(OR(F11="",G11="",H11="",COUNT(I11)=0,J11="",COUNT(K11)=0,COUNT(L11)=0,M11="",COUNT(N11)=0,O11="",S11="",T11=""),"BLOCK_MISSING_REQUIRED",IF(I11&lt;0,"BLOCK_NEGATIVE_ACTIVITY",IF(AND(J11&lt;&gt;"L",J11&lt;&gt;"kWh",J11&lt;&gt;"km",J11&lt;&gt;"t"),"BLOCK_UNSUPPORTED_UNIT",IF(OR(AND(J11="L",O11&lt;&gt;"kgCO2e/L"),AND(J11="kWh",O11&lt;&gt;"kgCO2e/kWh"),AND(J11="km",O11&lt;&gt;"kgCO2e/km"),AND(J11="t",O11&lt;&gt;"kgCO2e/t")),"BLOCK_UNIT_MISMATCH",IF(OR(COUNTIF(Trip_Detail!$A$2:$A$101,D11)&gt;0,COUNTIF($D$2:$D$100,D11)&gt;1),"BLOCK_DUPLICATE_LEDGER_ID",IF(AA11&lt;&gt;"PASS_UNIQUE_PHYSICAL_TRIP","BLOCK_POSSIBLE_PHYSICAL_DUPLICATE",IF(AND(Q11="simulated",R11="yes"),"PASS_SIMULATED_ONLY",IF(AND(Q11="actual",R11&lt;&gt;"yes",P11="factor_verified",S11&lt;&gt;"",T11&lt;&gt;"",M11&lt;&gt;""),"PASS_FORMAL_PRECHECK","REVIEW_DATA_STATUS")))))))))</x:f>
        <x:v>BLOCK_POSSIBLE_PHYSICAL_DUPLICATE</x:v>
      </x:c>
      <x:c r="AC11" s="12" t="str">
        <x:f>IF(D11="","N/A",IF(AND(Q11="actual",R11&lt;&gt;"yes",P11="factor_verified",AB11="PASS_FORMAL_PRECHECK",AA11="PASS_UNIQUE_PHYSICAL_TRIP",U11="approved",S11&lt;&gt;"",T11&lt;&gt;"",M11&lt;&gt;""),"FORMAL_APPROVED","EXCLUDED_NOT_FORMALLY_APPROVED"))</x:f>
        <x:v>EXCLUDED_NOT_FORMALLY_APPROVED</x:v>
      </x:c>
      <x:c r="AD11" s="12" t="str">
        <x:v>BLOCK_POSSIBLE_PHYSICAL_DUPLICATE</x:v>
      </x:c>
      <x:c r="AE11" s="12" t="str">
        <x:v>EXCLUDED_NOT_FORMALLY_APPROVED</x:v>
      </x:c>
      <x:c r="AF11" s="12" t="str">
        <x:f>IF(W11="","N/A",IF(ABS(SUMIF($W$2:$W$100,W11,$X$2:$X$100)-1)&lt;=0.000001,"PASS_ALLOCATION","BLOCK_ALLOCATION_SUM"))</x:f>
        <x:v>N/A</x:v>
      </x:c>
      <x:c r="AG11" s="12" t="str">
        <x:v>N/A</x:v>
      </x:c>
      <x:c r="AH11" s="12" t="str">
        <x:f>IF(AND(AB11=AD11,AC11=AE11,AF11=AG11),"PASS","FAIL")</x:f>
        <x:v>PASS</x:v>
      </x:c>
      <x:c r="AI11" s="12" t="str">
        <x:v>Synthetic scenario only; not real source data and not eligible for real-world posting.</x:v>
      </x:c>
      <x:c r="AJ11" s="48" t="str">
        <x:v>simulated</x:v>
      </x:c>
    </x:row>
    <x:row r="12">
      <x:c r="A12" s="12" t="str">
        <x:v>PT-011</x:v>
      </x:c>
      <x:c r="B12" s="12" t="str">
        <x:v>Allocation</x:v>
      </x:c>
      <x:c r="C12" s="12" t="str">
        <x:v>Allocation share 40 percent</x:v>
      </x:c>
      <x:c r="D12" s="12" t="str">
        <x:v>PT-LR-011</x:v>
      </x:c>
      <x:c r="E12" s="12" t="str">
        <x:v>PT-TRIP-011</x:v>
      </x:c>
      <x:c r="F12" s="12" t="str">
        <x:v>PT-VH-011</x:v>
      </x:c>
      <x:c r="G12" s="12" t="str">
        <x:v>2026-10-15</x:v>
      </x:c>
      <x:c r="H12" s="12" t="str">
        <x:v>柴油消耗</x:v>
      </x:c>
      <x:c r="I12" s="12" t="n">
        <x:v>10</x:v>
      </x:c>
      <x:c r="J12" s="12" t="str">
        <x:v>L</x:v>
      </x:c>
      <x:c r="K12" s="12" t="n">
        <x:v>40</x:v>
      </x:c>
      <x:c r="L12" s="12" t="n">
        <x:v>0.5</x:v>
      </x:c>
      <x:c r="M12" s="12" t="str">
        <x:v>PT-SRCROW-011</x:v>
      </x:c>
      <x:c r="N12" s="12" t="n">
        <x:v>3.16</x:v>
      </x:c>
      <x:c r="O12" s="12" t="str">
        <x:v>kgCO2e/L</x:v>
      </x:c>
      <x:c r="P12" s="12" t="str">
        <x:v>proxy_pending_verification</x:v>
      </x:c>
      <x:c r="Q12" s="12" t="str">
        <x:v>simulated</x:v>
      </x:c>
      <x:c r="R12" s="12" t="str">
        <x:v>yes</x:v>
      </x:c>
      <x:c r="S12" s="12" t="str">
        <x:v>EVD-TEST-PT-011</x:v>
      </x:c>
      <x:c r="T12" s="12" t="str">
        <x:v>RUN-TEST-PT-011</x:v>
      </x:c>
      <x:c r="U12" s="12" t="str">
        <x:v>not approved</x:v>
      </x:c>
      <x:c r="V12" s="12" t="str">
        <x:v>yes</x:v>
      </x:c>
      <x:c r="W12" s="12" t="str">
        <x:v>ALLOC-VALID</x:v>
      </x:c>
      <x:c r="X12" s="12" t="n">
        <x:v>0.4</x:v>
      </x:c>
      <x:c r="Y12" s="12" t="n">
        <x:v>100</x:v>
      </x:c>
      <x:c r="Z12" s="12" t="str">
        <x:f>IF(OR(F12="",G12="",H12="",COUNT(I12)=0,J12="",COUNT(K12)=0,COUNT(L12)=0),"",UPPER(F12&amp;"|"&amp;G12&amp;"|"&amp;H12&amp;"|"&amp;TEXT(K12,"0.000")&amp;"|"&amp;TEXT(L12,"0.000")&amp;"|"&amp;TEXT(I12,"0.000")&amp;"|"&amp;J12))</x:f>
        <x:v>PT-VH-011|2026-10-15|柴油消耗|40.000|0.500|10.000|L</x:v>
      </x:c>
      <x:c r="AA12" s="12" t="str">
        <x:f>IF(D12="","N/A",IF(OR(AND(E12&lt;&gt;"",COUNTIF(Trip_Detail!$C$2:$C$101,E12)&gt;0),AND(M12&lt;&gt;"",COUNTIF(Trip_Detail!$AE$2:$AE$101,M12)&gt;0),AND(Z12&lt;&gt;"",COUNTIF(Trip_Detail!$AM$2:$AM$101,Z12)&gt;0),COUNTIF($E$2:$E$100,E12)&gt;1,COUNTIF($M$2:$M$100,M12)&gt;1,COUNTIF($Z$2:$Z$100,Z12)&gt;1),"BLOCK_POSSIBLE_PHYSICAL_DUPLICATE","PASS_UNIQUE_PHYSICAL_TRIP"))</x:f>
        <x:v>PASS_UNIQUE_PHYSICAL_TRIP</x:v>
      </x:c>
      <x:c r="AB12" s="12" t="str">
        <x:f>IF(D12="","N/A",IF(OR(F12="",G12="",H12="",COUNT(I12)=0,J12="",COUNT(K12)=0,COUNT(L12)=0,M12="",COUNT(N12)=0,O12="",S12="",T12=""),"BLOCK_MISSING_REQUIRED",IF(I12&lt;0,"BLOCK_NEGATIVE_ACTIVITY",IF(AND(J12&lt;&gt;"L",J12&lt;&gt;"kWh",J12&lt;&gt;"km",J12&lt;&gt;"t"),"BLOCK_UNSUPPORTED_UNIT",IF(OR(AND(J12="L",O12&lt;&gt;"kgCO2e/L"),AND(J12="kWh",O12&lt;&gt;"kgCO2e/kWh"),AND(J12="km",O12&lt;&gt;"kgCO2e/km"),AND(J12="t",O12&lt;&gt;"kgCO2e/t")),"BLOCK_UNIT_MISMATCH",IF(OR(COUNTIF(Trip_Detail!$A$2:$A$101,D12)&gt;0,COUNTIF($D$2:$D$100,D12)&gt;1),"BLOCK_DUPLICATE_LEDGER_ID",IF(AA12&lt;&gt;"PASS_UNIQUE_PHYSICAL_TRIP","BLOCK_POSSIBLE_PHYSICAL_DUPLICATE",IF(AND(Q12="simulated",R12="yes"),"PASS_SIMULATED_ONLY",IF(AND(Q12="actual",R12&lt;&gt;"yes",P12="factor_verified",S12&lt;&gt;"",T12&lt;&gt;"",M12&lt;&gt;""),"PASS_FORMAL_PRECHECK","REVIEW_DATA_STATUS")))))))))</x:f>
        <x:v>PASS_SIMULATED_ONLY</x:v>
      </x:c>
      <x:c r="AC12" s="12" t="str">
        <x:f>IF(D12="","N/A",IF(AND(Q12="actual",R12&lt;&gt;"yes",P12="factor_verified",AB12="PASS_FORMAL_PRECHECK",AA12="PASS_UNIQUE_PHYSICAL_TRIP",U12="approved",S12&lt;&gt;"",T12&lt;&gt;"",M12&lt;&gt;""),"FORMAL_APPROVED","EXCLUDED_NOT_FORMALLY_APPROVED"))</x:f>
        <x:v>EXCLUDED_NOT_FORMALLY_APPROVED</x:v>
      </x:c>
      <x:c r="AD12" s="12" t="str">
        <x:v>PASS_SIMULATED_ONLY</x:v>
      </x:c>
      <x:c r="AE12" s="12" t="str">
        <x:v>EXCLUDED_NOT_FORMALLY_APPROVED</x:v>
      </x:c>
      <x:c r="AF12" s="12" t="str">
        <x:f>IF(W12="","N/A",IF(ABS(SUMIF($W$2:$W$100,W12,$X$2:$X$100)-1)&lt;=0.000001,"PASS_ALLOCATION","BLOCK_ALLOCATION_SUM"))</x:f>
        <x:v>PASS_ALLOCATION</x:v>
      </x:c>
      <x:c r="AG12" s="12" t="str">
        <x:v>PASS_ALLOCATION</x:v>
      </x:c>
      <x:c r="AH12" s="12" t="str">
        <x:f>IF(AND(AB12=AD12,AC12=AE12,AF12=AG12),"PASS","FAIL")</x:f>
        <x:v>PASS</x:v>
      </x:c>
      <x:c r="AI12" s="12" t="str">
        <x:v>Synthetic scenario only; not real source data and not eligible for real-world posting.</x:v>
      </x:c>
      <x:c r="AJ12" s="48" t="str">
        <x:v>simulated</x:v>
      </x:c>
    </x:row>
    <x:row r="13">
      <x:c r="A13" s="12" t="str">
        <x:v>PT-012</x:v>
      </x:c>
      <x:c r="B13" s="12" t="str">
        <x:v>Allocation</x:v>
      </x:c>
      <x:c r="C13" s="12" t="str">
        <x:v>Allocation share 60 percent</x:v>
      </x:c>
      <x:c r="D13" s="12" t="str">
        <x:v>PT-LR-012</x:v>
      </x:c>
      <x:c r="E13" s="12" t="str">
        <x:v>PT-TRIP-012</x:v>
      </x:c>
      <x:c r="F13" s="12" t="str">
        <x:v>PT-VH-012</x:v>
      </x:c>
      <x:c r="G13" s="12" t="str">
        <x:v>2026-10-16</x:v>
      </x:c>
      <x:c r="H13" s="12" t="str">
        <x:v>柴油消耗</x:v>
      </x:c>
      <x:c r="I13" s="12" t="n">
        <x:v>12</x:v>
      </x:c>
      <x:c r="J13" s="12" t="str">
        <x:v>L</x:v>
      </x:c>
      <x:c r="K13" s="12" t="n">
        <x:v>45</x:v>
      </x:c>
      <x:c r="L13" s="12" t="n">
        <x:v>0.6</x:v>
      </x:c>
      <x:c r="M13" s="12" t="str">
        <x:v>PT-SRCROW-012</x:v>
      </x:c>
      <x:c r="N13" s="12" t="n">
        <x:v>3.16</x:v>
      </x:c>
      <x:c r="O13" s="12" t="str">
        <x:v>kgCO2e/L</x:v>
      </x:c>
      <x:c r="P13" s="12" t="str">
        <x:v>proxy_pending_verification</x:v>
      </x:c>
      <x:c r="Q13" s="12" t="str">
        <x:v>simulated</x:v>
      </x:c>
      <x:c r="R13" s="12" t="str">
        <x:v>yes</x:v>
      </x:c>
      <x:c r="S13" s="12" t="str">
        <x:v>EVD-TEST-PT-012</x:v>
      </x:c>
      <x:c r="T13" s="12" t="str">
        <x:v>RUN-TEST-PT-012</x:v>
      </x:c>
      <x:c r="U13" s="12" t="str">
        <x:v>not approved</x:v>
      </x:c>
      <x:c r="V13" s="12" t="str">
        <x:v>yes</x:v>
      </x:c>
      <x:c r="W13" s="12" t="str">
        <x:v>ALLOC-VALID</x:v>
      </x:c>
      <x:c r="X13" s="12" t="n">
        <x:v>0.6</x:v>
      </x:c>
      <x:c r="Y13" s="12" t="n">
        <x:v>100</x:v>
      </x:c>
      <x:c r="Z13" s="12" t="str">
        <x:f>IF(OR(F13="",G13="",H13="",COUNT(I13)=0,J13="",COUNT(K13)=0,COUNT(L13)=0),"",UPPER(F13&amp;"|"&amp;G13&amp;"|"&amp;H13&amp;"|"&amp;TEXT(K13,"0.000")&amp;"|"&amp;TEXT(L13,"0.000")&amp;"|"&amp;TEXT(I13,"0.000")&amp;"|"&amp;J13))</x:f>
        <x:v>PT-VH-012|2026-10-16|柴油消耗|45.000|0.600|12.000|L</x:v>
      </x:c>
      <x:c r="AA13" s="12" t="str">
        <x:f>IF(D13="","N/A",IF(OR(AND(E13&lt;&gt;"",COUNTIF(Trip_Detail!$C$2:$C$101,E13)&gt;0),AND(M13&lt;&gt;"",COUNTIF(Trip_Detail!$AE$2:$AE$101,M13)&gt;0),AND(Z13&lt;&gt;"",COUNTIF(Trip_Detail!$AM$2:$AM$101,Z13)&gt;0),COUNTIF($E$2:$E$100,E13)&gt;1,COUNTIF($M$2:$M$100,M13)&gt;1,COUNTIF($Z$2:$Z$100,Z13)&gt;1),"BLOCK_POSSIBLE_PHYSICAL_DUPLICATE","PASS_UNIQUE_PHYSICAL_TRIP"))</x:f>
        <x:v>PASS_UNIQUE_PHYSICAL_TRIP</x:v>
      </x:c>
      <x:c r="AB13" s="12" t="str">
        <x:f>IF(D13="","N/A",IF(OR(F13="",G13="",H13="",COUNT(I13)=0,J13="",COUNT(K13)=0,COUNT(L13)=0,M13="",COUNT(N13)=0,O13="",S13="",T13=""),"BLOCK_MISSING_REQUIRED",IF(I13&lt;0,"BLOCK_NEGATIVE_ACTIVITY",IF(AND(J13&lt;&gt;"L",J13&lt;&gt;"kWh",J13&lt;&gt;"km",J13&lt;&gt;"t"),"BLOCK_UNSUPPORTED_UNIT",IF(OR(AND(J13="L",O13&lt;&gt;"kgCO2e/L"),AND(J13="kWh",O13&lt;&gt;"kgCO2e/kWh"),AND(J13="km",O13&lt;&gt;"kgCO2e/km"),AND(J13="t",O13&lt;&gt;"kgCO2e/t")),"BLOCK_UNIT_MISMATCH",IF(OR(COUNTIF(Trip_Detail!$A$2:$A$101,D13)&gt;0,COUNTIF($D$2:$D$100,D13)&gt;1),"BLOCK_DUPLICATE_LEDGER_ID",IF(AA13&lt;&gt;"PASS_UNIQUE_PHYSICAL_TRIP","BLOCK_POSSIBLE_PHYSICAL_DUPLICATE",IF(AND(Q13="simulated",R13="yes"),"PASS_SIMULATED_ONLY",IF(AND(Q13="actual",R13&lt;&gt;"yes",P13="factor_verified",S13&lt;&gt;"",T13&lt;&gt;"",M13&lt;&gt;""),"PASS_FORMAL_PRECHECK","REVIEW_DATA_STATUS")))))))))</x:f>
        <x:v>PASS_SIMULATED_ONLY</x:v>
      </x:c>
      <x:c r="AC13" s="12" t="str">
        <x:f>IF(D13="","N/A",IF(AND(Q13="actual",R13&lt;&gt;"yes",P13="factor_verified",AB13="PASS_FORMAL_PRECHECK",AA13="PASS_UNIQUE_PHYSICAL_TRIP",U13="approved",S13&lt;&gt;"",T13&lt;&gt;"",M13&lt;&gt;""),"FORMAL_APPROVED","EXCLUDED_NOT_FORMALLY_APPROVED"))</x:f>
        <x:v>EXCLUDED_NOT_FORMALLY_APPROVED</x:v>
      </x:c>
      <x:c r="AD13" s="12" t="str">
        <x:v>PASS_SIMULATED_ONLY</x:v>
      </x:c>
      <x:c r="AE13" s="12" t="str">
        <x:v>EXCLUDED_NOT_FORMALLY_APPROVED</x:v>
      </x:c>
      <x:c r="AF13" s="12" t="str">
        <x:f>IF(W13="","N/A",IF(ABS(SUMIF($W$2:$W$100,W13,$X$2:$X$100)-1)&lt;=0.000001,"PASS_ALLOCATION","BLOCK_ALLOCATION_SUM"))</x:f>
        <x:v>PASS_ALLOCATION</x:v>
      </x:c>
      <x:c r="AG13" s="12" t="str">
        <x:v>PASS_ALLOCATION</x:v>
      </x:c>
      <x:c r="AH13" s="12" t="str">
        <x:f>IF(AND(AB13=AD13,AC13=AE13,AF13=AG13),"PASS","FAIL")</x:f>
        <x:v>PASS</x:v>
      </x:c>
      <x:c r="AI13" s="12" t="str">
        <x:v>Synthetic scenario only; not real source data and not eligible for real-world posting.</x:v>
      </x:c>
      <x:c r="AJ13" s="48" t="str">
        <x:v>simulated</x:v>
      </x:c>
    </x:row>
    <x:row r="14">
      <x:c r="A14" s="12" t="str">
        <x:v>PT-013</x:v>
      </x:c>
      <x:c r="B14" s="12" t="str">
        <x:v>Allocation</x:v>
      </x:c>
      <x:c r="C14" s="12" t="str">
        <x:v>Allocation share 40 percent incomplete group</x:v>
      </x:c>
      <x:c r="D14" s="12" t="str">
        <x:v>PT-LR-013</x:v>
      </x:c>
      <x:c r="E14" s="12" t="str">
        <x:v>PT-TRIP-013</x:v>
      </x:c>
      <x:c r="F14" s="12" t="str">
        <x:v>PT-VH-013</x:v>
      </x:c>
      <x:c r="G14" s="12" t="str">
        <x:v>2026-10-17</x:v>
      </x:c>
      <x:c r="H14" s="12" t="str">
        <x:v>柴油消耗</x:v>
      </x:c>
      <x:c r="I14" s="12" t="n">
        <x:v>13</x:v>
      </x:c>
      <x:c r="J14" s="12" t="str">
        <x:v>L</x:v>
      </x:c>
      <x:c r="K14" s="12" t="n">
        <x:v>50</x:v>
      </x:c>
      <x:c r="L14" s="12" t="n">
        <x:v>0.7</x:v>
      </x:c>
      <x:c r="M14" s="12" t="str">
        <x:v>PT-SRCROW-013</x:v>
      </x:c>
      <x:c r="N14" s="12" t="n">
        <x:v>3.16</x:v>
      </x:c>
      <x:c r="O14" s="12" t="str">
        <x:v>kgCO2e/L</x:v>
      </x:c>
      <x:c r="P14" s="12" t="str">
        <x:v>proxy_pending_verification</x:v>
      </x:c>
      <x:c r="Q14" s="12" t="str">
        <x:v>simulated</x:v>
      </x:c>
      <x:c r="R14" s="12" t="str">
        <x:v>yes</x:v>
      </x:c>
      <x:c r="S14" s="12" t="str">
        <x:v>EVD-TEST-PT-013</x:v>
      </x:c>
      <x:c r="T14" s="12" t="str">
        <x:v>RUN-TEST-PT-013</x:v>
      </x:c>
      <x:c r="U14" s="12" t="str">
        <x:v>not approved</x:v>
      </x:c>
      <x:c r="V14" s="12" t="str">
        <x:v>yes</x:v>
      </x:c>
      <x:c r="W14" s="12" t="str">
        <x:v>ALLOC-INVALID</x:v>
      </x:c>
      <x:c r="X14" s="12" t="n">
        <x:v>0.4</x:v>
      </x:c>
      <x:c r="Y14" s="12" t="n">
        <x:v>100</x:v>
      </x:c>
      <x:c r="Z14" s="12" t="str">
        <x:f>IF(OR(F14="",G14="",H14="",COUNT(I14)=0,J14="",COUNT(K14)=0,COUNT(L14)=0),"",UPPER(F14&amp;"|"&amp;G14&amp;"|"&amp;H14&amp;"|"&amp;TEXT(K14,"0.000")&amp;"|"&amp;TEXT(L14,"0.000")&amp;"|"&amp;TEXT(I14,"0.000")&amp;"|"&amp;J14))</x:f>
        <x:v>PT-VH-013|2026-10-17|柴油消耗|50.000|0.700|13.000|L</x:v>
      </x:c>
      <x:c r="AA14" s="12" t="str">
        <x:f>IF(D14="","N/A",IF(OR(AND(E14&lt;&gt;"",COUNTIF(Trip_Detail!$C$2:$C$101,E14)&gt;0),AND(M14&lt;&gt;"",COUNTIF(Trip_Detail!$AE$2:$AE$101,M14)&gt;0),AND(Z14&lt;&gt;"",COUNTIF(Trip_Detail!$AM$2:$AM$101,Z14)&gt;0),COUNTIF($E$2:$E$100,E14)&gt;1,COUNTIF($M$2:$M$100,M14)&gt;1,COUNTIF($Z$2:$Z$100,Z14)&gt;1),"BLOCK_POSSIBLE_PHYSICAL_DUPLICATE","PASS_UNIQUE_PHYSICAL_TRIP"))</x:f>
        <x:v>PASS_UNIQUE_PHYSICAL_TRIP</x:v>
      </x:c>
      <x:c r="AB14" s="12" t="str">
        <x:f>IF(D14="","N/A",IF(OR(F14="",G14="",H14="",COUNT(I14)=0,J14="",COUNT(K14)=0,COUNT(L14)=0,M14="",COUNT(N14)=0,O14="",S14="",T14=""),"BLOCK_MISSING_REQUIRED",IF(I14&lt;0,"BLOCK_NEGATIVE_ACTIVITY",IF(AND(J14&lt;&gt;"L",J14&lt;&gt;"kWh",J14&lt;&gt;"km",J14&lt;&gt;"t"),"BLOCK_UNSUPPORTED_UNIT",IF(OR(AND(J14="L",O14&lt;&gt;"kgCO2e/L"),AND(J14="kWh",O14&lt;&gt;"kgCO2e/kWh"),AND(J14="km",O14&lt;&gt;"kgCO2e/km"),AND(J14="t",O14&lt;&gt;"kgCO2e/t")),"BLOCK_UNIT_MISMATCH",IF(OR(COUNTIF(Trip_Detail!$A$2:$A$101,D14)&gt;0,COUNTIF($D$2:$D$100,D14)&gt;1),"BLOCK_DUPLICATE_LEDGER_ID",IF(AA14&lt;&gt;"PASS_UNIQUE_PHYSICAL_TRIP","BLOCK_POSSIBLE_PHYSICAL_DUPLICATE",IF(AND(Q14="simulated",R14="yes"),"PASS_SIMULATED_ONLY",IF(AND(Q14="actual",R14&lt;&gt;"yes",P14="factor_verified",S14&lt;&gt;"",T14&lt;&gt;"",M14&lt;&gt;""),"PASS_FORMAL_PRECHECK","REVIEW_DATA_STATUS")))))))))</x:f>
        <x:v>PASS_SIMULATED_ONLY</x:v>
      </x:c>
      <x:c r="AC14" s="12" t="str">
        <x:f>IF(D14="","N/A",IF(AND(Q14="actual",R14&lt;&gt;"yes",P14="factor_verified",AB14="PASS_FORMAL_PRECHECK",AA14="PASS_UNIQUE_PHYSICAL_TRIP",U14="approved",S14&lt;&gt;"",T14&lt;&gt;"",M14&lt;&gt;""),"FORMAL_APPROVED","EXCLUDED_NOT_FORMALLY_APPROVED"))</x:f>
        <x:v>EXCLUDED_NOT_FORMALLY_APPROVED</x:v>
      </x:c>
      <x:c r="AD14" s="12" t="str">
        <x:v>PASS_SIMULATED_ONLY</x:v>
      </x:c>
      <x:c r="AE14" s="12" t="str">
        <x:v>EXCLUDED_NOT_FORMALLY_APPROVED</x:v>
      </x:c>
      <x:c r="AF14" s="12" t="str">
        <x:f>IF(W14="","N/A",IF(ABS(SUMIF($W$2:$W$100,W14,$X$2:$X$100)-1)&lt;=0.000001,"PASS_ALLOCATION","BLOCK_ALLOCATION_SUM"))</x:f>
        <x:v>BLOCK_ALLOCATION_SUM</x:v>
      </x:c>
      <x:c r="AG14" s="12" t="str">
        <x:v>BLOCK_ALLOCATION_SUM</x:v>
      </x:c>
      <x:c r="AH14" s="12" t="str">
        <x:f>IF(AND(AB14=AD14,AC14=AE14,AF14=AG14),"PASS","FAIL")</x:f>
        <x:v>PASS</x:v>
      </x:c>
      <x:c r="AI14" s="12" t="str">
        <x:v>Synthetic scenario only; not real source data and not eligible for real-world posting.</x:v>
      </x:c>
      <x:c r="AJ14" s="48" t="str">
        <x:v>simulated</x:v>
      </x:c>
    </x:row>
    <x:row r="15">
      <x:c r="A15" s="12" t="str">
        <x:v>PT-014</x:v>
      </x:c>
      <x:c r="B15" s="12" t="str">
        <x:v>Allocation</x:v>
      </x:c>
      <x:c r="C15" s="12" t="str">
        <x:v>Allocation share 50 percent incomplete group</x:v>
      </x:c>
      <x:c r="D15" s="12" t="str">
        <x:v>PT-LR-014</x:v>
      </x:c>
      <x:c r="E15" s="12" t="str">
        <x:v>PT-TRIP-014</x:v>
      </x:c>
      <x:c r="F15" s="12" t="str">
        <x:v>PT-VH-014</x:v>
      </x:c>
      <x:c r="G15" s="12" t="str">
        <x:v>2026-10-18</x:v>
      </x:c>
      <x:c r="H15" s="12" t="str">
        <x:v>柴油消耗</x:v>
      </x:c>
      <x:c r="I15" s="12" t="n">
        <x:v>14</x:v>
      </x:c>
      <x:c r="J15" s="12" t="str">
        <x:v>L</x:v>
      </x:c>
      <x:c r="K15" s="12" t="n">
        <x:v>55</x:v>
      </x:c>
      <x:c r="L15" s="12" t="n">
        <x:v>0.8</x:v>
      </x:c>
      <x:c r="M15" s="12" t="str">
        <x:v>PT-SRCROW-014</x:v>
      </x:c>
      <x:c r="N15" s="12" t="n">
        <x:v>3.16</x:v>
      </x:c>
      <x:c r="O15" s="12" t="str">
        <x:v>kgCO2e/L</x:v>
      </x:c>
      <x:c r="P15" s="12" t="str">
        <x:v>proxy_pending_verification</x:v>
      </x:c>
      <x:c r="Q15" s="12" t="str">
        <x:v>simulated</x:v>
      </x:c>
      <x:c r="R15" s="12" t="str">
        <x:v>yes</x:v>
      </x:c>
      <x:c r="S15" s="12" t="str">
        <x:v>EVD-TEST-PT-014</x:v>
      </x:c>
      <x:c r="T15" s="12" t="str">
        <x:v>RUN-TEST-PT-014</x:v>
      </x:c>
      <x:c r="U15" s="12" t="str">
        <x:v>not approved</x:v>
      </x:c>
      <x:c r="V15" s="12" t="str">
        <x:v>yes</x:v>
      </x:c>
      <x:c r="W15" s="12" t="str">
        <x:v>ALLOC-INVALID</x:v>
      </x:c>
      <x:c r="X15" s="12" t="n">
        <x:v>0.5</x:v>
      </x:c>
      <x:c r="Y15" s="12" t="n">
        <x:v>100</x:v>
      </x:c>
      <x:c r="Z15" s="12" t="str">
        <x:f>IF(OR(F15="",G15="",H15="",COUNT(I15)=0,J15="",COUNT(K15)=0,COUNT(L15)=0),"",UPPER(F15&amp;"|"&amp;G15&amp;"|"&amp;H15&amp;"|"&amp;TEXT(K15,"0.000")&amp;"|"&amp;TEXT(L15,"0.000")&amp;"|"&amp;TEXT(I15,"0.000")&amp;"|"&amp;J15))</x:f>
        <x:v>PT-VH-014|2026-10-18|柴油消耗|55.000|0.800|14.000|L</x:v>
      </x:c>
      <x:c r="AA15" s="12" t="str">
        <x:f>IF(D15="","N/A",IF(OR(AND(E15&lt;&gt;"",COUNTIF(Trip_Detail!$C$2:$C$101,E15)&gt;0),AND(M15&lt;&gt;"",COUNTIF(Trip_Detail!$AE$2:$AE$101,M15)&gt;0),AND(Z15&lt;&gt;"",COUNTIF(Trip_Detail!$AM$2:$AM$101,Z15)&gt;0),COUNTIF($E$2:$E$100,E15)&gt;1,COUNTIF($M$2:$M$100,M15)&gt;1,COUNTIF($Z$2:$Z$100,Z15)&gt;1),"BLOCK_POSSIBLE_PHYSICAL_DUPLICATE","PASS_UNIQUE_PHYSICAL_TRIP"))</x:f>
        <x:v>PASS_UNIQUE_PHYSICAL_TRIP</x:v>
      </x:c>
      <x:c r="AB15" s="12" t="str">
        <x:f>IF(D15="","N/A",IF(OR(F15="",G15="",H15="",COUNT(I15)=0,J15="",COUNT(K15)=0,COUNT(L15)=0,M15="",COUNT(N15)=0,O15="",S15="",T15=""),"BLOCK_MISSING_REQUIRED",IF(I15&lt;0,"BLOCK_NEGATIVE_ACTIVITY",IF(AND(J15&lt;&gt;"L",J15&lt;&gt;"kWh",J15&lt;&gt;"km",J15&lt;&gt;"t"),"BLOCK_UNSUPPORTED_UNIT",IF(OR(AND(J15="L",O15&lt;&gt;"kgCO2e/L"),AND(J15="kWh",O15&lt;&gt;"kgCO2e/kWh"),AND(J15="km",O15&lt;&gt;"kgCO2e/km"),AND(J15="t",O15&lt;&gt;"kgCO2e/t")),"BLOCK_UNIT_MISMATCH",IF(OR(COUNTIF(Trip_Detail!$A$2:$A$101,D15)&gt;0,COUNTIF($D$2:$D$100,D15)&gt;1),"BLOCK_DUPLICATE_LEDGER_ID",IF(AA15&lt;&gt;"PASS_UNIQUE_PHYSICAL_TRIP","BLOCK_POSSIBLE_PHYSICAL_DUPLICATE",IF(AND(Q15="simulated",R15="yes"),"PASS_SIMULATED_ONLY",IF(AND(Q15="actual",R15&lt;&gt;"yes",P15="factor_verified",S15&lt;&gt;"",T15&lt;&gt;"",M15&lt;&gt;""),"PASS_FORMAL_PRECHECK","REVIEW_DATA_STATUS")))))))))</x:f>
        <x:v>PASS_SIMULATED_ONLY</x:v>
      </x:c>
      <x:c r="AC15" s="12" t="str">
        <x:f>IF(D15="","N/A",IF(AND(Q15="actual",R15&lt;&gt;"yes",P15="factor_verified",AB15="PASS_FORMAL_PRECHECK",AA15="PASS_UNIQUE_PHYSICAL_TRIP",U15="approved",S15&lt;&gt;"",T15&lt;&gt;"",M15&lt;&gt;""),"FORMAL_APPROVED","EXCLUDED_NOT_FORMALLY_APPROVED"))</x:f>
        <x:v>EXCLUDED_NOT_FORMALLY_APPROVED</x:v>
      </x:c>
      <x:c r="AD15" s="12" t="str">
        <x:v>PASS_SIMULATED_ONLY</x:v>
      </x:c>
      <x:c r="AE15" s="12" t="str">
        <x:v>EXCLUDED_NOT_FORMALLY_APPROVED</x:v>
      </x:c>
      <x:c r="AF15" s="12" t="str">
        <x:f>IF(W15="","N/A",IF(ABS(SUMIF($W$2:$W$100,W15,$X$2:$X$100)-1)&lt;=0.000001,"PASS_ALLOCATION","BLOCK_ALLOCATION_SUM"))</x:f>
        <x:v>BLOCK_ALLOCATION_SUM</x:v>
      </x:c>
      <x:c r="AG15" s="12" t="str">
        <x:v>BLOCK_ALLOCATION_SUM</x:v>
      </x:c>
      <x:c r="AH15" s="12" t="str">
        <x:f>IF(AND(AB15=AD15,AC15=AE15,AF15=AG15),"PASS","FAIL")</x:f>
        <x:v>PASS</x:v>
      </x:c>
      <x:c r="AI15" s="12" t="str">
        <x:v>Synthetic scenario only; not real source data and not eligible for real-world posting.</x:v>
      </x:c>
      <x:c r="AJ15" s="48" t="str">
        <x:v>simulated</x:v>
      </x:c>
    </x:row>
    <x:row r="16">
      <x:c r="A16" s="12" t="str">
        <x:v>PT-015</x:v>
      </x:c>
      <x:c r="B16" s="12" t="str">
        <x:v>Formal Gate</x:v>
      </x:c>
      <x:c r="C16" s="12" t="str">
        <x:v>Simulated record marked approved must remain excluded</x:v>
      </x:c>
      <x:c r="D16" s="12" t="str">
        <x:v>PT-LR-015</x:v>
      </x:c>
      <x:c r="E16" s="12" t="str">
        <x:v>PT-TRIP-015</x:v>
      </x:c>
      <x:c r="F16" s="12" t="str">
        <x:v>PT-VH-015</x:v>
      </x:c>
      <x:c r="G16" s="12" t="str">
        <x:v>2026-10-20</x:v>
      </x:c>
      <x:c r="H16" s="12" t="str">
        <x:v>柴油消耗</x:v>
      </x:c>
      <x:c r="I16" s="12" t="n">
        <x:v>15</x:v>
      </x:c>
      <x:c r="J16" s="12" t="str">
        <x:v>L</x:v>
      </x:c>
      <x:c r="K16" s="12" t="n">
        <x:v>58</x:v>
      </x:c>
      <x:c r="L16" s="12" t="n">
        <x:v>0.9</x:v>
      </x:c>
      <x:c r="M16" s="12" t="str">
        <x:v>PT-SRCROW-015</x:v>
      </x:c>
      <x:c r="N16" s="12" t="n">
        <x:v>3.16</x:v>
      </x:c>
      <x:c r="O16" s="12" t="str">
        <x:v>kgCO2e/L</x:v>
      </x:c>
      <x:c r="P16" s="12" t="str">
        <x:v>proxy_pending_verification</x:v>
      </x:c>
      <x:c r="Q16" s="12" t="str">
        <x:v>simulated</x:v>
      </x:c>
      <x:c r="R16" s="12" t="str">
        <x:v>yes</x:v>
      </x:c>
      <x:c r="S16" s="12" t="str">
        <x:v>EVD-TEST-PT-015</x:v>
      </x:c>
      <x:c r="T16" s="12" t="str">
        <x:v>RUN-TEST-PT-015</x:v>
      </x:c>
      <x:c r="U16" s="12" t="str">
        <x:v>approved</x:v>
      </x:c>
      <x:c r="V16" s="12" t="str">
        <x:v>yes</x:v>
      </x:c>
      <x:c r="W16" s="12" t="str"/>
      <x:c r="X16" s="12"/>
      <x:c r="Y16" s="12"/>
      <x:c r="Z16" s="12" t="str">
        <x:f>IF(OR(F16="",G16="",H16="",COUNT(I16)=0,J16="",COUNT(K16)=0,COUNT(L16)=0),"",UPPER(F16&amp;"|"&amp;G16&amp;"|"&amp;H16&amp;"|"&amp;TEXT(K16,"0.000")&amp;"|"&amp;TEXT(L16,"0.000")&amp;"|"&amp;TEXT(I16,"0.000")&amp;"|"&amp;J16))</x:f>
        <x:v>PT-VH-015|2026-10-20|柴油消耗|58.000|0.900|15.000|L</x:v>
      </x:c>
      <x:c r="AA16" s="12" t="str">
        <x:f>IF(D16="","N/A",IF(OR(AND(E16&lt;&gt;"",COUNTIF(Trip_Detail!$C$2:$C$101,E16)&gt;0),AND(M16&lt;&gt;"",COUNTIF(Trip_Detail!$AE$2:$AE$101,M16)&gt;0),AND(Z16&lt;&gt;"",COUNTIF(Trip_Detail!$AM$2:$AM$101,Z16)&gt;0),COUNTIF($E$2:$E$100,E16)&gt;1,COUNTIF($M$2:$M$100,M16)&gt;1,COUNTIF($Z$2:$Z$100,Z16)&gt;1),"BLOCK_POSSIBLE_PHYSICAL_DUPLICATE","PASS_UNIQUE_PHYSICAL_TRIP"))</x:f>
        <x:v>PASS_UNIQUE_PHYSICAL_TRIP</x:v>
      </x:c>
      <x:c r="AB16" s="12" t="str">
        <x:f>IF(D16="","N/A",IF(OR(F16="",G16="",H16="",COUNT(I16)=0,J16="",COUNT(K16)=0,COUNT(L16)=0,M16="",COUNT(N16)=0,O16="",S16="",T16=""),"BLOCK_MISSING_REQUIRED",IF(I16&lt;0,"BLOCK_NEGATIVE_ACTIVITY",IF(AND(J16&lt;&gt;"L",J16&lt;&gt;"kWh",J16&lt;&gt;"km",J16&lt;&gt;"t"),"BLOCK_UNSUPPORTED_UNIT",IF(OR(AND(J16="L",O16&lt;&gt;"kgCO2e/L"),AND(J16="kWh",O16&lt;&gt;"kgCO2e/kWh"),AND(J16="km",O16&lt;&gt;"kgCO2e/km"),AND(J16="t",O16&lt;&gt;"kgCO2e/t")),"BLOCK_UNIT_MISMATCH",IF(OR(COUNTIF(Trip_Detail!$A$2:$A$101,D16)&gt;0,COUNTIF($D$2:$D$100,D16)&gt;1),"BLOCK_DUPLICATE_LEDGER_ID",IF(AA16&lt;&gt;"PASS_UNIQUE_PHYSICAL_TRIP","BLOCK_POSSIBLE_PHYSICAL_DUPLICATE",IF(AND(Q16="simulated",R16="yes"),"PASS_SIMULATED_ONLY",IF(AND(Q16="actual",R16&lt;&gt;"yes",P16="factor_verified",S16&lt;&gt;"",T16&lt;&gt;"",M16&lt;&gt;""),"PASS_FORMAL_PRECHECK","REVIEW_DATA_STATUS")))))))))</x:f>
        <x:v>PASS_SIMULATED_ONLY</x:v>
      </x:c>
      <x:c r="AC16" s="12" t="str">
        <x:f>IF(D16="","N/A",IF(AND(Q16="actual",R16&lt;&gt;"yes",P16="factor_verified",AB16="PASS_FORMAL_PRECHECK",AA16="PASS_UNIQUE_PHYSICAL_TRIP",U16="approved",S16&lt;&gt;"",T16&lt;&gt;"",M16&lt;&gt;""),"FORMAL_APPROVED","EXCLUDED_NOT_FORMALLY_APPROVED"))</x:f>
        <x:v>EXCLUDED_NOT_FORMALLY_APPROVED</x:v>
      </x:c>
      <x:c r="AD16" s="12" t="str">
        <x:v>PASS_SIMULATED_ONLY</x:v>
      </x:c>
      <x:c r="AE16" s="12" t="str">
        <x:v>EXCLUDED_NOT_FORMALLY_APPROVED</x:v>
      </x:c>
      <x:c r="AF16" s="12" t="str">
        <x:f>IF(W16="","N/A",IF(ABS(SUMIF($W$2:$W$100,W16,$X$2:$X$100)-1)&lt;=0.000001,"PASS_ALLOCATION","BLOCK_ALLOCATION_SUM"))</x:f>
        <x:v>N/A</x:v>
      </x:c>
      <x:c r="AG16" s="12" t="str">
        <x:v>N/A</x:v>
      </x:c>
      <x:c r="AH16" s="12" t="str">
        <x:f>IF(AND(AB16=AD16,AC16=AE16,AF16=AG16),"PASS","FAIL")</x:f>
        <x:v>PASS</x:v>
      </x:c>
      <x:c r="AI16" s="12" t="str">
        <x:v>Synthetic scenario only; not real source data and not eligible for real-world posting.</x:v>
      </x:c>
      <x:c r="AJ16" s="48" t="str">
        <x:v>simulated</x:v>
      </x:c>
    </x:row>
    <x:row r="17">
      <x:c r="A17" s="12" t="str">
        <x:v>PT-016</x:v>
      </x:c>
      <x:c r="B17" s="12" t="str">
        <x:v>Formal Gate</x:v>
      </x:c>
      <x:c r="C17" s="12" t="str">
        <x:v>Actual-like record without owner approval</x:v>
      </x:c>
      <x:c r="D17" s="12" t="str">
        <x:v>PT-LR-016</x:v>
      </x:c>
      <x:c r="E17" s="12" t="str">
        <x:v>PT-TRIP-016</x:v>
      </x:c>
      <x:c r="F17" s="12" t="str">
        <x:v>PT-VH-016</x:v>
      </x:c>
      <x:c r="G17" s="12" t="str">
        <x:v>2026-10-21</x:v>
      </x:c>
      <x:c r="H17" s="12" t="str">
        <x:v>柴油消耗</x:v>
      </x:c>
      <x:c r="I17" s="12" t="n">
        <x:v>16</x:v>
      </x:c>
      <x:c r="J17" s="12" t="str">
        <x:v>L</x:v>
      </x:c>
      <x:c r="K17" s="12" t="n">
        <x:v>60</x:v>
      </x:c>
      <x:c r="L17" s="12" t="n">
        <x:v>1</x:v>
      </x:c>
      <x:c r="M17" s="12" t="str">
        <x:v>PT-SRCROW-016</x:v>
      </x:c>
      <x:c r="N17" s="12" t="n">
        <x:v>3.16</x:v>
      </x:c>
      <x:c r="O17" s="12" t="str">
        <x:v>kgCO2e/L</x:v>
      </x:c>
      <x:c r="P17" s="12" t="str">
        <x:v>factor_verified</x:v>
      </x:c>
      <x:c r="Q17" s="12" t="str">
        <x:v>actual</x:v>
      </x:c>
      <x:c r="R17" s="12" t="str">
        <x:v>no</x:v>
      </x:c>
      <x:c r="S17" s="12" t="str">
        <x:v>EVD-TEST-PT-016</x:v>
      </x:c>
      <x:c r="T17" s="12" t="str">
        <x:v>RUN-TEST-PT-016</x:v>
      </x:c>
      <x:c r="U17" s="12" t="str">
        <x:v>not approved</x:v>
      </x:c>
      <x:c r="V17" s="12" t="str">
        <x:v>yes</x:v>
      </x:c>
      <x:c r="W17" s="12" t="str"/>
      <x:c r="X17" s="12"/>
      <x:c r="Y17" s="12"/>
      <x:c r="Z17" s="12" t="str">
        <x:f>IF(OR(F17="",G17="",H17="",COUNT(I17)=0,J17="",COUNT(K17)=0,COUNT(L17)=0),"",UPPER(F17&amp;"|"&amp;G17&amp;"|"&amp;H17&amp;"|"&amp;TEXT(K17,"0.000")&amp;"|"&amp;TEXT(L17,"0.000")&amp;"|"&amp;TEXT(I17,"0.000")&amp;"|"&amp;J17))</x:f>
        <x:v>PT-VH-016|2026-10-21|柴油消耗|60.000|1.000|16.000|L</x:v>
      </x:c>
      <x:c r="AA17" s="12" t="str">
        <x:f>IF(D17="","N/A",IF(OR(AND(E17&lt;&gt;"",COUNTIF(Trip_Detail!$C$2:$C$101,E17)&gt;0),AND(M17&lt;&gt;"",COUNTIF(Trip_Detail!$AE$2:$AE$101,M17)&gt;0),AND(Z17&lt;&gt;"",COUNTIF(Trip_Detail!$AM$2:$AM$101,Z17)&gt;0),COUNTIF($E$2:$E$100,E17)&gt;1,COUNTIF($M$2:$M$100,M17)&gt;1,COUNTIF($Z$2:$Z$100,Z17)&gt;1),"BLOCK_POSSIBLE_PHYSICAL_DUPLICATE","PASS_UNIQUE_PHYSICAL_TRIP"))</x:f>
        <x:v>PASS_UNIQUE_PHYSICAL_TRIP</x:v>
      </x:c>
      <x:c r="AB17" s="12" t="str">
        <x:f>IF(D17="","N/A",IF(OR(F17="",G17="",H17="",COUNT(I17)=0,J17="",COUNT(K17)=0,COUNT(L17)=0,M17="",COUNT(N17)=0,O17="",S17="",T17=""),"BLOCK_MISSING_REQUIRED",IF(I17&lt;0,"BLOCK_NEGATIVE_ACTIVITY",IF(AND(J17&lt;&gt;"L",J17&lt;&gt;"kWh",J17&lt;&gt;"km",J17&lt;&gt;"t"),"BLOCK_UNSUPPORTED_UNIT",IF(OR(AND(J17="L",O17&lt;&gt;"kgCO2e/L"),AND(J17="kWh",O17&lt;&gt;"kgCO2e/kWh"),AND(J17="km",O17&lt;&gt;"kgCO2e/km"),AND(J17="t",O17&lt;&gt;"kgCO2e/t")),"BLOCK_UNIT_MISMATCH",IF(OR(COUNTIF(Trip_Detail!$A$2:$A$101,D17)&gt;0,COUNTIF($D$2:$D$100,D17)&gt;1),"BLOCK_DUPLICATE_LEDGER_ID",IF(AA17&lt;&gt;"PASS_UNIQUE_PHYSICAL_TRIP","BLOCK_POSSIBLE_PHYSICAL_DUPLICATE",IF(AND(Q17="simulated",R17="yes"),"PASS_SIMULATED_ONLY",IF(AND(Q17="actual",R17&lt;&gt;"yes",P17="factor_verified",S17&lt;&gt;"",T17&lt;&gt;"",M17&lt;&gt;""),"PASS_FORMAL_PRECHECK","REVIEW_DATA_STATUS")))))))))</x:f>
        <x:v>PASS_FORMAL_PRECHECK</x:v>
      </x:c>
      <x:c r="AC17" s="12" t="str">
        <x:f>IF(D17="","N/A",IF(AND(Q17="actual",R17&lt;&gt;"yes",P17="factor_verified",AB17="PASS_FORMAL_PRECHECK",AA17="PASS_UNIQUE_PHYSICAL_TRIP",U17="approved",S17&lt;&gt;"",T17&lt;&gt;"",M17&lt;&gt;""),"FORMAL_APPROVED","EXCLUDED_NOT_FORMALLY_APPROVED"))</x:f>
        <x:v>EXCLUDED_NOT_FORMALLY_APPROVED</x:v>
      </x:c>
      <x:c r="AD17" s="12" t="str">
        <x:v>PASS_FORMAL_PRECHECK</x:v>
      </x:c>
      <x:c r="AE17" s="12" t="str">
        <x:v>EXCLUDED_NOT_FORMALLY_APPROVED</x:v>
      </x:c>
      <x:c r="AF17" s="12" t="str">
        <x:f>IF(W17="","N/A",IF(ABS(SUMIF($W$2:$W$100,W17,$X$2:$X$100)-1)&lt;=0.000001,"PASS_ALLOCATION","BLOCK_ALLOCATION_SUM"))</x:f>
        <x:v>N/A</x:v>
      </x:c>
      <x:c r="AG17" s="12" t="str">
        <x:v>N/A</x:v>
      </x:c>
      <x:c r="AH17" s="12" t="str">
        <x:f>IF(AND(AB17=AD17,AC17=AE17,AF17=AG17),"PASS","FAIL")</x:f>
        <x:v>PASS</x:v>
      </x:c>
      <x:c r="AI17" s="12" t="str">
        <x:v>Hypothetical gate-state fixture only; not real activity data and not approved.</x:v>
      </x:c>
      <x:c r="AJ17" s="48" t="str">
        <x:v>simulated</x:v>
      </x:c>
    </x:row>
    <x:row r="18">
      <x:c r="A18" s="12" t="str">
        <x:v>PT-017</x:v>
      </x:c>
      <x:c r="B18" s="12" t="str">
        <x:v>Formal Gate</x:v>
      </x:c>
      <x:c r="C18" s="12" t="str">
        <x:v>Hypothetical fully prechecked and approved state</x:v>
      </x:c>
      <x:c r="D18" s="12" t="str">
        <x:v>PT-LR-017</x:v>
      </x:c>
      <x:c r="E18" s="12" t="str">
        <x:v>PT-TRIP-017</x:v>
      </x:c>
      <x:c r="F18" s="12" t="str">
        <x:v>PT-VH-017</x:v>
      </x:c>
      <x:c r="G18" s="12" t="str">
        <x:v>2026-10-22</x:v>
      </x:c>
      <x:c r="H18" s="12" t="str">
        <x:v>柴油消耗</x:v>
      </x:c>
      <x:c r="I18" s="12" t="n">
        <x:v>17</x:v>
      </x:c>
      <x:c r="J18" s="12" t="str">
        <x:v>L</x:v>
      </x:c>
      <x:c r="K18" s="12" t="n">
        <x:v>61</x:v>
      </x:c>
      <x:c r="L18" s="12" t="n">
        <x:v>1.1</x:v>
      </x:c>
      <x:c r="M18" s="12" t="str">
        <x:v>PT-SRCROW-017</x:v>
      </x:c>
      <x:c r="N18" s="12" t="n">
        <x:v>3.16</x:v>
      </x:c>
      <x:c r="O18" s="12" t="str">
        <x:v>kgCO2e/L</x:v>
      </x:c>
      <x:c r="P18" s="12" t="str">
        <x:v>factor_verified</x:v>
      </x:c>
      <x:c r="Q18" s="12" t="str">
        <x:v>actual</x:v>
      </x:c>
      <x:c r="R18" s="12" t="str">
        <x:v>no</x:v>
      </x:c>
      <x:c r="S18" s="12" t="str">
        <x:v>EVD-TEST-PT-017</x:v>
      </x:c>
      <x:c r="T18" s="12" t="str">
        <x:v>RUN-TEST-PT-017</x:v>
      </x:c>
      <x:c r="U18" s="12" t="str">
        <x:v>approved</x:v>
      </x:c>
      <x:c r="V18" s="12" t="str">
        <x:v>yes</x:v>
      </x:c>
      <x:c r="W18" s="12" t="str"/>
      <x:c r="X18" s="12"/>
      <x:c r="Y18" s="12"/>
      <x:c r="Z18" s="12" t="str">
        <x:f>IF(OR(F18="",G18="",H18="",COUNT(I18)=0,J18="",COUNT(K18)=0,COUNT(L18)=0),"",UPPER(F18&amp;"|"&amp;G18&amp;"|"&amp;H18&amp;"|"&amp;TEXT(K18,"0.000")&amp;"|"&amp;TEXT(L18,"0.000")&amp;"|"&amp;TEXT(I18,"0.000")&amp;"|"&amp;J18))</x:f>
        <x:v>PT-VH-017|2026-10-22|柴油消耗|61.000|1.100|17.000|L</x:v>
      </x:c>
      <x:c r="AA18" s="12" t="str">
        <x:f>IF(D18="","N/A",IF(OR(AND(E18&lt;&gt;"",COUNTIF(Trip_Detail!$C$2:$C$101,E18)&gt;0),AND(M18&lt;&gt;"",COUNTIF(Trip_Detail!$AE$2:$AE$101,M18)&gt;0),AND(Z18&lt;&gt;"",COUNTIF(Trip_Detail!$AM$2:$AM$101,Z18)&gt;0),COUNTIF($E$2:$E$100,E18)&gt;1,COUNTIF($M$2:$M$100,M18)&gt;1,COUNTIF($Z$2:$Z$100,Z18)&gt;1),"BLOCK_POSSIBLE_PHYSICAL_DUPLICATE","PASS_UNIQUE_PHYSICAL_TRIP"))</x:f>
        <x:v>PASS_UNIQUE_PHYSICAL_TRIP</x:v>
      </x:c>
      <x:c r="AB18" s="12" t="str">
        <x:f>IF(D18="","N/A",IF(OR(F18="",G18="",H18="",COUNT(I18)=0,J18="",COUNT(K18)=0,COUNT(L18)=0,M18="",COUNT(N18)=0,O18="",S18="",T18=""),"BLOCK_MISSING_REQUIRED",IF(I18&lt;0,"BLOCK_NEGATIVE_ACTIVITY",IF(AND(J18&lt;&gt;"L",J18&lt;&gt;"kWh",J18&lt;&gt;"km",J18&lt;&gt;"t"),"BLOCK_UNSUPPORTED_UNIT",IF(OR(AND(J18="L",O18&lt;&gt;"kgCO2e/L"),AND(J18="kWh",O18&lt;&gt;"kgCO2e/kWh"),AND(J18="km",O18&lt;&gt;"kgCO2e/km"),AND(J18="t",O18&lt;&gt;"kgCO2e/t")),"BLOCK_UNIT_MISMATCH",IF(OR(COUNTIF(Trip_Detail!$A$2:$A$101,D18)&gt;0,COUNTIF($D$2:$D$100,D18)&gt;1),"BLOCK_DUPLICATE_LEDGER_ID",IF(AA18&lt;&gt;"PASS_UNIQUE_PHYSICAL_TRIP","BLOCK_POSSIBLE_PHYSICAL_DUPLICATE",IF(AND(Q18="simulated",R18="yes"),"PASS_SIMULATED_ONLY",IF(AND(Q18="actual",R18&lt;&gt;"yes",P18="factor_verified",S18&lt;&gt;"",T18&lt;&gt;"",M18&lt;&gt;""),"PASS_FORMAL_PRECHECK","REVIEW_DATA_STATUS")))))))))</x:f>
        <x:v>PASS_FORMAL_PRECHECK</x:v>
      </x:c>
      <x:c r="AC18" s="12" t="str">
        <x:f>IF(D18="","N/A",IF(AND(Q18="actual",R18&lt;&gt;"yes",P18="factor_verified",AB18="PASS_FORMAL_PRECHECK",AA18="PASS_UNIQUE_PHYSICAL_TRIP",U18="approved",S18&lt;&gt;"",T18&lt;&gt;"",M18&lt;&gt;""),"FORMAL_APPROVED","EXCLUDED_NOT_FORMALLY_APPROVED"))</x:f>
        <x:v>FORMAL_APPROVED</x:v>
      </x:c>
      <x:c r="AD18" s="12" t="str">
        <x:v>PASS_FORMAL_PRECHECK</x:v>
      </x:c>
      <x:c r="AE18" s="12" t="str">
        <x:v>FORMAL_APPROVED</x:v>
      </x:c>
      <x:c r="AF18" s="12" t="str">
        <x:f>IF(W18="","N/A",IF(ABS(SUMIF($W$2:$W$100,W18,$X$2:$X$100)-1)&lt;=0.000001,"PASS_ALLOCATION","BLOCK_ALLOCATION_SUM"))</x:f>
        <x:v>N/A</x:v>
      </x:c>
      <x:c r="AG18" s="12" t="str">
        <x:v>N/A</x:v>
      </x:c>
      <x:c r="AH18" s="12" t="str">
        <x:f>IF(AND(AB18=AD18,AC18=AE18,AF18=AG18),"PASS","FAIL")</x:f>
        <x:v>PASS</x:v>
      </x:c>
      <x:c r="AI18" s="12" t="str">
        <x:v>Hypothetical rule logic test only; not actual source data or actual owner approval; never copied to main ledger.</x:v>
      </x:c>
      <x:c r="AJ18" s="48" t="str">
        <x:v>simulated</x:v>
      </x:c>
    </x:row>
    <x:row r="19">
      <x:c r="A19" s="12" t="str">
        <x:v>PT-018</x:v>
      </x:c>
      <x:c r="B19" s="12" t="str">
        <x:v>Formal Gate</x:v>
      </x:c>
      <x:c r="C19" s="12" t="str">
        <x:v>Factor unverified even when status is actual</x:v>
      </x:c>
      <x:c r="D19" s="12" t="str">
        <x:v>PT-LR-018</x:v>
      </x:c>
      <x:c r="E19" s="12" t="str">
        <x:v>PT-TRIP-018</x:v>
      </x:c>
      <x:c r="F19" s="12" t="str">
        <x:v>PT-VH-018</x:v>
      </x:c>
      <x:c r="G19" s="12" t="str">
        <x:v>2026-10-23</x:v>
      </x:c>
      <x:c r="H19" s="12" t="str">
        <x:v>柴油消耗</x:v>
      </x:c>
      <x:c r="I19" s="12" t="n">
        <x:v>18</x:v>
      </x:c>
      <x:c r="J19" s="12" t="str">
        <x:v>L</x:v>
      </x:c>
      <x:c r="K19" s="12" t="n">
        <x:v>62</x:v>
      </x:c>
      <x:c r="L19" s="12" t="n">
        <x:v>1.2</x:v>
      </x:c>
      <x:c r="M19" s="12" t="str">
        <x:v>PT-SRCROW-018</x:v>
      </x:c>
      <x:c r="N19" s="12" t="n">
        <x:v>3.16</x:v>
      </x:c>
      <x:c r="O19" s="12" t="str">
        <x:v>kgCO2e/L</x:v>
      </x:c>
      <x:c r="P19" s="12" t="str">
        <x:v>proxy_pending_verification</x:v>
      </x:c>
      <x:c r="Q19" s="12" t="str">
        <x:v>actual</x:v>
      </x:c>
      <x:c r="R19" s="12" t="str">
        <x:v>no</x:v>
      </x:c>
      <x:c r="S19" s="12" t="str">
        <x:v>EVD-TEST-PT-018</x:v>
      </x:c>
      <x:c r="T19" s="12" t="str">
        <x:v>RUN-TEST-PT-018</x:v>
      </x:c>
      <x:c r="U19" s="12" t="str">
        <x:v>approved</x:v>
      </x:c>
      <x:c r="V19" s="12" t="str">
        <x:v>yes</x:v>
      </x:c>
      <x:c r="W19" s="12" t="str"/>
      <x:c r="X19" s="12"/>
      <x:c r="Y19" s="12"/>
      <x:c r="Z19" s="12" t="str">
        <x:f>IF(OR(F19="",G19="",H19="",COUNT(I19)=0,J19="",COUNT(K19)=0,COUNT(L19)=0),"",UPPER(F19&amp;"|"&amp;G19&amp;"|"&amp;H19&amp;"|"&amp;TEXT(K19,"0.000")&amp;"|"&amp;TEXT(L19,"0.000")&amp;"|"&amp;TEXT(I19,"0.000")&amp;"|"&amp;J19))</x:f>
        <x:v>PT-VH-018|2026-10-23|柴油消耗|62.000|1.200|18.000|L</x:v>
      </x:c>
      <x:c r="AA19" s="12" t="str">
        <x:f>IF(D19="","N/A",IF(OR(AND(E19&lt;&gt;"",COUNTIF(Trip_Detail!$C$2:$C$101,E19)&gt;0),AND(M19&lt;&gt;"",COUNTIF(Trip_Detail!$AE$2:$AE$101,M19)&gt;0),AND(Z19&lt;&gt;"",COUNTIF(Trip_Detail!$AM$2:$AM$101,Z19)&gt;0),COUNTIF($E$2:$E$100,E19)&gt;1,COUNTIF($M$2:$M$100,M19)&gt;1,COUNTIF($Z$2:$Z$100,Z19)&gt;1),"BLOCK_POSSIBLE_PHYSICAL_DUPLICATE","PASS_UNIQUE_PHYSICAL_TRIP"))</x:f>
        <x:v>PASS_UNIQUE_PHYSICAL_TRIP</x:v>
      </x:c>
      <x:c r="AB19" s="12" t="str">
        <x:f>IF(D19="","N/A",IF(OR(F19="",G19="",H19="",COUNT(I19)=0,J19="",COUNT(K19)=0,COUNT(L19)=0,M19="",COUNT(N19)=0,O19="",S19="",T19=""),"BLOCK_MISSING_REQUIRED",IF(I19&lt;0,"BLOCK_NEGATIVE_ACTIVITY",IF(AND(J19&lt;&gt;"L",J19&lt;&gt;"kWh",J19&lt;&gt;"km",J19&lt;&gt;"t"),"BLOCK_UNSUPPORTED_UNIT",IF(OR(AND(J19="L",O19&lt;&gt;"kgCO2e/L"),AND(J19="kWh",O19&lt;&gt;"kgCO2e/kWh"),AND(J19="km",O19&lt;&gt;"kgCO2e/km"),AND(J19="t",O19&lt;&gt;"kgCO2e/t")),"BLOCK_UNIT_MISMATCH",IF(OR(COUNTIF(Trip_Detail!$A$2:$A$101,D19)&gt;0,COUNTIF($D$2:$D$100,D19)&gt;1),"BLOCK_DUPLICATE_LEDGER_ID",IF(AA19&lt;&gt;"PASS_UNIQUE_PHYSICAL_TRIP","BLOCK_POSSIBLE_PHYSICAL_DUPLICATE",IF(AND(Q19="simulated",R19="yes"),"PASS_SIMULATED_ONLY",IF(AND(Q19="actual",R19&lt;&gt;"yes",P19="factor_verified",S19&lt;&gt;"",T19&lt;&gt;"",M19&lt;&gt;""),"PASS_FORMAL_PRECHECK","REVIEW_DATA_STATUS")))))))))</x:f>
        <x:v>REVIEW_DATA_STATUS</x:v>
      </x:c>
      <x:c r="AC19" s="12" t="str">
        <x:f>IF(D19="","N/A",IF(AND(Q19="actual",R19&lt;&gt;"yes",P19="factor_verified",AB19="PASS_FORMAL_PRECHECK",AA19="PASS_UNIQUE_PHYSICAL_TRIP",U19="approved",S19&lt;&gt;"",T19&lt;&gt;"",M19&lt;&gt;""),"FORMAL_APPROVED","EXCLUDED_NOT_FORMALLY_APPROVED"))</x:f>
        <x:v>EXCLUDED_NOT_FORMALLY_APPROVED</x:v>
      </x:c>
      <x:c r="AD19" s="12" t="str">
        <x:v>REVIEW_DATA_STATUS</x:v>
      </x:c>
      <x:c r="AE19" s="12" t="str">
        <x:v>EXCLUDED_NOT_FORMALLY_APPROVED</x:v>
      </x:c>
      <x:c r="AF19" s="12" t="str">
        <x:f>IF(W19="","N/A",IF(ABS(SUMIF($W$2:$W$100,W19,$X$2:$X$100)-1)&lt;=0.000001,"PASS_ALLOCATION","BLOCK_ALLOCATION_SUM"))</x:f>
        <x:v>N/A</x:v>
      </x:c>
      <x:c r="AG19" s="12" t="str">
        <x:v>N/A</x:v>
      </x:c>
      <x:c r="AH19" s="12" t="str">
        <x:f>IF(AND(AB19=AD19,AC19=AE19,AF19=AG19),"PASS","FAIL")</x:f>
        <x:v>PASS</x:v>
      </x:c>
      <x:c r="AI19" s="12" t="str">
        <x:v>Hypothetical status only; proxy factor must not pass formal precheck.</x:v>
      </x:c>
      <x:c r="AJ19" s="48" t="str">
        <x:v>simulated</x:v>
      </x:c>
    </x:row>
    <x:row r="20">
      <x:c r="A20" t="str">
        <x:v>PT-019</x:v>
      </x:c>
      <x:c r="B20" t="str">
        <x:v>Required fields</x:v>
      </x:c>
      <x:c r="C20" t="str">
        <x:v>Missing vehicle identity should block</x:v>
      </x:c>
      <x:c r="D20" t="str">
        <x:v>PT-LR-019</x:v>
      </x:c>
      <x:c r="E20" t="str">
        <x:v>PT-TRIP-019</x:v>
      </x:c>
      <x:c r="F20" t="str"/>
      <x:c r="G20" t="str">
        <x:v>2026-10-24</x:v>
      </x:c>
      <x:c r="H20" t="str">
        <x:v>柴油消耗</x:v>
      </x:c>
      <x:c r="I20" t="n">
        <x:v>19</x:v>
      </x:c>
      <x:c r="J20" t="str">
        <x:v>L</x:v>
      </x:c>
      <x:c r="K20" t="n">
        <x:v>63</x:v>
      </x:c>
      <x:c r="L20" t="n">
        <x:v>1.3</x:v>
      </x:c>
      <x:c r="M20" t="str">
        <x:v>PT-SRCROW-019</x:v>
      </x:c>
      <x:c r="N20" t="n">
        <x:v>3.16</x:v>
      </x:c>
      <x:c r="O20" t="str">
        <x:v>kgCO2e/L</x:v>
      </x:c>
      <x:c r="P20" t="str">
        <x:v>proxy_pending_verification</x:v>
      </x:c>
      <x:c r="Q20" t="str">
        <x:v>simulated</x:v>
      </x:c>
      <x:c r="R20" t="str">
        <x:v>yes</x:v>
      </x:c>
      <x:c r="S20" t="str">
        <x:v>EVD-TEST-PT-019</x:v>
      </x:c>
      <x:c r="T20" t="str">
        <x:v>RUN-TEST-PT-019</x:v>
      </x:c>
      <x:c r="U20" t="str">
        <x:v>not approved</x:v>
      </x:c>
      <x:c r="V20" t="str">
        <x:v>yes</x:v>
      </x:c>
      <x:c r="W20" t="str"/>
      <x:c r="X20"/>
      <x:c r="Y20"/>
      <x:c r="Z20" t="str">
        <x:f>IF(OR(F20="",G20="",H20="",COUNT(I20)=0,J20="",COUNT(K20)=0,COUNT(L20)=0),"",UPPER(F20&amp;"|"&amp;G20&amp;"|"&amp;H20&amp;"|"&amp;TEXT(K20,"0.000")&amp;"|"&amp;TEXT(L20,"0.000")&amp;"|"&amp;TEXT(I20,"0.000")&amp;"|"&amp;J20))</x:f>
      </x:c>
      <x:c r="AA20" t="str">
        <x:f>IF(D20="","N/A",IF(OR(AND(E20&lt;&gt;"",COUNTIF(Trip_Detail!$C$2:$C$101,E20)&gt;0),AND(M20&lt;&gt;"",COUNTIF(Trip_Detail!$AE$2:$AE$101,M20)&gt;0),AND(Z20&lt;&gt;"",COUNTIF(Trip_Detail!$AM$2:$AM$101,Z20)&gt;0),COUNTIF($E$2:$E$100,E20)&gt;1,COUNTIF($M$2:$M$100,M20)&gt;1,COUNTIF($Z$2:$Z$100,Z20)&gt;1),"BLOCK_POSSIBLE_PHYSICAL_DUPLICATE","PASS_UNIQUE_PHYSICAL_TRIP"))</x:f>
        <x:v>PASS_UNIQUE_PHYSICAL_TRIP</x:v>
      </x:c>
      <x:c r="AB20" t="str">
        <x:f>IF(D20="","N/A",IF(OR(F20="",G20="",H20="",COUNT(I20)=0,J20="",COUNT(K20)=0,COUNT(L20)=0,M20="",COUNT(N20)=0,O20="",S20="",T20=""),"BLOCK_MISSING_REQUIRED",IF(I20&lt;0,"BLOCK_NEGATIVE_ACTIVITY",IF(AND(J20&lt;&gt;"L",J20&lt;&gt;"kWh",J20&lt;&gt;"km",J20&lt;&gt;"t"),"BLOCK_UNSUPPORTED_UNIT",IF(OR(AND(J20="L",O20&lt;&gt;"kgCO2e/L"),AND(J20="kWh",O20&lt;&gt;"kgCO2e/kWh"),AND(J20="km",O20&lt;&gt;"kgCO2e/km"),AND(J20="t",O20&lt;&gt;"kgCO2e/t")),"BLOCK_UNIT_MISMATCH",IF(OR(COUNTIF(Trip_Detail!$A$2:$A$101,D20)&gt;0,COUNTIF($D$2:$D$100,D20)&gt;1),"BLOCK_DUPLICATE_LEDGER_ID",IF(AA20&lt;&gt;"PASS_UNIQUE_PHYSICAL_TRIP","BLOCK_POSSIBLE_PHYSICAL_DUPLICATE",IF(AND(Q20="simulated",R20="yes"),"PASS_SIMULATED_ONLY",IF(AND(Q20="actual",R20&lt;&gt;"yes",P20="factor_verified",S20&lt;&gt;"",T20&lt;&gt;"",M20&lt;&gt;""),"PASS_FORMAL_PRECHECK","REVIEW_DATA_STATUS")))))))))</x:f>
        <x:v>BLOCK_MISSING_REQUIRED</x:v>
      </x:c>
      <x:c r="AC20" t="str">
        <x:f>IF(D20="","N/A",IF(AND(Q20="actual",R20&lt;&gt;"yes",P20="factor_verified",AB20="PASS_FORMAL_PRECHECK",AA20="PASS_UNIQUE_PHYSICAL_TRIP",U20="approved",S20&lt;&gt;"",T20&lt;&gt;"",M20&lt;&gt;""),"FORMAL_APPROVED","EXCLUDED_NOT_FORMALLY_APPROVED"))</x:f>
        <x:v>EXCLUDED_NOT_FORMALLY_APPROVED</x:v>
      </x:c>
      <x:c r="AD20" t="str">
        <x:v>BLOCK_MISSING_REQUIRED</x:v>
      </x:c>
      <x:c r="AE20" t="str">
        <x:v>EXCLUDED_NOT_FORMALLY_APPROVED</x:v>
      </x:c>
      <x:c r="AF20" t="str">
        <x:f>IF(W20="","N/A",IF(ABS(SUMIF($W$2:$W$100,W20,$X$2:$X$100)-1)&lt;=0.000001,"PASS_ALLOCATION","BLOCK_ALLOCATION_SUM"))</x:f>
        <x:v>N/A</x:v>
      </x:c>
      <x:c r="AG20" t="str">
        <x:v>N/A</x:v>
      </x:c>
      <x:c r="AH20" t="str">
        <x:f>IF(AND(AB20=AD20,AC20=AE20,AF20=AG20),"PASS","FAIL")</x:f>
        <x:v>PASS</x:v>
      </x:c>
      <x:c r="AI20" t="str">
        <x:v>Synthetic scenario only; missing Vehicle_ID means physical-trip identity is incomplete; no emissions can enter summary.</x:v>
      </x:c>
      <x:c r="AJ20" s="48" t="str">
        <x:v>simulated</x:v>
      </x:c>
    </x:row>
  </x:sheetData>
  <x:pageMargins left="0.7" right="0.7" top="0.75" bottom="0.75" header="0.3" footer="0.3"/>
</x:worksheet>
</file>