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61b5c84d9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_Ledger" sheetId="1" r:id="R64f0dafc9b5f4191"/>
    <x:sheet xmlns:r="http://schemas.openxmlformats.org/officeDocument/2006/relationships" name="Quota_Instructions" sheetId="2" r:id="R82d53328ff49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72f627c1f46a1" /><Relationship Type="http://schemas.openxmlformats.org/officeDocument/2006/relationships/theme" Target="/xl/theme/theme1.xml" Id="Rf05cf3ab76624768" /><Relationship Type="http://schemas.openxmlformats.org/officeDocument/2006/relationships/sharedStrings" Target="/xl/sharedStrings.xml" Id="R6146a7565fe84cae" /><Relationship Type="http://schemas.openxmlformats.org/officeDocument/2006/relationships/worksheet" Target="/xl/worksheets/sheet1.xml" Id="R64f0dafc9b5f4191" /><Relationship Type="http://schemas.openxmlformats.org/officeDocument/2006/relationships/worksheet" Target="/xl/worksheets/sheet2.xml" Id="R82d53328ff494d7f" /></Relationships>
</file>

<file path=xl/tables/table1.xml><?xml version="1.0" encoding="utf-8"?>
<x:table xmlns:x="http://schemas.openxmlformats.org/spreadsheetml/2006/main" id="1" name="QuotaLedgerTable" displayName="QuotaLedgerTable" ref="A1:L2" headerRowCount="1" totalsRowCount="0" totalsRowShown="0">
  <x:tableColumns count="12">
    <x:tableColumn id="1" name="Quota_Record_ID"/>
    <x:tableColumn id="2" name="Period"/>
    <x:tableColumn id="3" name="Opening_Quota_tCO2e"/>
    <x:tableColumn id="4" name="Compliance_Used_tCO2e"/>
    <x:tableColumn id="5" name="Purchased_Quota_tCO2e"/>
    <x:tableColumn id="6" name="Available_Quota_tCO2e"/>
    <x:tableColumn id="7" name="Closing_Balance_tCO2e"/>
    <x:tableColumn id="8" name="Shortfall_tCO2e"/>
    <x:tableColumn id="9" name="Source_Document"/>
    <x:tableColumn id="10" name="Data_Status"/>
    <x:tableColumn id="11" name="Approval_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otaGuideTable" displayName="QuotaGuideTable" ref="A1:B6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8049d7ce8640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b8f78b7bc248d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2" hidden="0" customWidth="1"/>
    <x:col min="9" max="9" width="44" hidden="0" customWidth="1"/>
    <x:col min="10" max="10" width="18" hidden="0" customWidth="1"/>
    <x:col min="11" max="11" width="22" hidden="0" customWidth="1"/>
    <x:col min="12" max="12" width="90" hidden="0" customWidth="1"/>
  </x:cols>
  <x:sheetData>
    <x:row r="1" ht="34" customHeight="1">
      <x:c r="A1" s="6" t="str">
        <x:v>Quota_Record_ID</x:v>
      </x:c>
      <x:c r="B1" s="6" t="str">
        <x:v>Period</x:v>
      </x:c>
      <x:c r="C1" s="6" t="str">
        <x:v>Opening_Quota_tCO2e</x:v>
      </x:c>
      <x:c r="D1" s="6" t="str">
        <x:v>Compliance_Used_tCO2e</x:v>
      </x:c>
      <x:c r="E1" s="6" t="str">
        <x:v>Purchased_Quota_tCO2e</x:v>
      </x:c>
      <x:c r="F1" s="6" t="str">
        <x:v>Available_Quota_tCO2e</x:v>
      </x:c>
      <x:c r="G1" s="6" t="str">
        <x:v>Closing_Balance_tCO2e</x:v>
      </x:c>
      <x:c r="H1" s="6" t="str">
        <x:v>Shortfall_tCO2e</x:v>
      </x:c>
      <x:c r="I1" s="6" t="str">
        <x:v>Source_Document</x:v>
      </x:c>
      <x:c r="J1" s="6" t="str">
        <x:v>Data_Status</x:v>
      </x:c>
      <x:c r="K1" s="6" t="str">
        <x:v>Approval_Status</x:v>
      </x:c>
      <x:c r="L1" s="6" t="str">
        <x:v>Notes</x:v>
      </x:c>
    </x:row>
    <x:row r="2">
      <x:c r="A2" s="14" t="str">
        <x:v>QUOTA-SIM-001</x:v>
      </x:c>
      <x:c r="B2" s="14" t="str">
        <x:v>2026</x:v>
      </x:c>
      <x:c r="C2" s="14" t="n">
        <x:v>1</x:v>
      </x:c>
      <x:c r="D2" s="14" t="n">
        <x:v>2.439298</x:v>
      </x:c>
      <x:c r="E2" s="14" t="n">
        <x:v>0.2</x:v>
      </x:c>
      <x:c r="F2" s="14" t="n">
        <x:f>C2+E2</x:f>
        <x:v>1.2</x:v>
      </x:c>
      <x:c r="G2" s="14" t="n">
        <x:f>MAX(0,F2-D2)</x:f>
        <x:v>0</x:v>
      </x:c>
      <x:c r="H2" s="14" t="n">
        <x:f>MAX(0,D2-F2)</x:f>
        <x:v>1.239298</x:v>
      </x:c>
      <x:c r="I2" s="14" t="str">
        <x:v>simulated scenario: used amount matches 12-row synthetic ledger total 2.439298 t for formula testing only; not a real quota record</x:v>
      </x:c>
      <x:c r="J2" s="14" t="str">
        <x:v>simulated</x:v>
      </x:c>
      <x:c r="K2" s="14" t="str">
        <x:v>not approved</x:v>
      </x:c>
      <x:c r="L2" s="14" t="str">
        <x:v>All quota amounts are synthetic placeholders for formula testing only; not a legal allowance or approved ledger balance. 0.5433t is the synthetic Trip_Detail result using proxy factors.</x:v>
      </x:c>
    </x:row>
  </x:sheetData>
  <x:pageMargins left="0.7" right="0.7" top="0.75" bottom="0.75" header="0.3" footer="0.3"/>
  <x:tableParts count="1">
    <x:tablePart xmlns:r="http://schemas.openxmlformats.org/officeDocument/2006/relationships" r:id="Rce8049d7ce86408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4" customHeight="1">
      <x:c r="A1" s="6" t="str">
        <x:v>项目</x:v>
      </x:c>
      <x:c r="B1" s="6" t="str">
        <x:v>说明</x:v>
      </x:c>
    </x:row>
    <x:row r="2">
      <x:c r="A2" s="14" t="str">
        <x:v>用途</x:v>
      </x:c>
      <x:c r="B2" s="14" t="str">
        <x:v>配额台账列结构模板，模拟值仅测试公式，不是实际配额或履约结论。</x:v>
      </x:c>
    </x:row>
    <x:row r="3">
      <x:c r="A3" s="14" t="str">
        <x:v>公式</x:v>
      </x:c>
      <x:c r="B3" s="14" t="str">
        <x:v>Available=Opening+Purchased；Closing=Available-Compliance_Used；Shortfall=MAX(0,Compliance_Used-Available)。</x:v>
      </x:c>
    </x:row>
    <x:row r="4">
      <x:c r="A4" s="14" t="str">
        <x:v>计量边界</x:v>
      </x:c>
      <x:c r="B4" s="14" t="str">
        <x:v>物理排放量与配额交易/履约成本分开记录，避免重复计入排放。</x:v>
      </x:c>
    </x:row>
    <x:row r="5">
      <x:c r="A5" s="14" t="str">
        <x:v>正式使用</x:v>
      </x:c>
      <x:c r="B5" s="14" t="str">
        <x:v>必须补配额制度适用依据、账户/期间证明、真实购买/履约凭证及经确认会计处理。</x:v>
      </x:c>
    </x:row>
    <x:row r="6">
      <x:c r="A6" s="14" t="str">
        <x:v>批准状态</x:v>
      </x:c>
      <x:c r="B6" s="14" t="str">
        <x:v>not approved；待负责人/财务账负责人确认。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89b8f78b7bc248d4"/>
  </x:tableParts>
</x:worksheet>
</file>